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 d'intervention ADEME" sheetId="1" state="visible" r:id="rId3"/>
    <sheet name="Évaluations modes nouveaux" sheetId="2" state="visible" r:id="rId4"/>
    <sheet name="Paramètres doctrine État" sheetId="3" state="visible" r:id="rId5"/>
    <sheet name="Méthode ART enrichie" sheetId="4" state="visible" r:id="rId6"/>
    <sheet name="Sources" sheetId="5" state="visible" r:id="rId7"/>
  </sheets>
  <definedNames>
    <definedName function="false" hidden="true" localSheetId="1" name="_xlnm._FilterDatabase" vbProcedure="false">'Évaluations modes nouveaux'!$A$3:$J$28</definedName>
    <definedName function="false" hidden="true" localSheetId="0" name="_xlnm._FilterDatabase" vbProcedure="false">'Modes d''intervention ADEME'!$A$2:$H$32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<sst xmlns="http://schemas.openxmlformats.org/spreadsheetml/2006/main" count="1178" uniqueCount="792">
  <si>
    <t xml:space="preserve">Modes d'intervention de l'ADEME et de l'État — Caractéristiques systémiques (enrichi SPAFTE 2026)</t>
  </si>
  <si>
    <t xml:space="preserve">Famille</t>
  </si>
  <si>
    <t xml:space="preserve">Mode d'intervention</t>
  </si>
  <si>
    <t xml:space="preserve">Type de financement</t>
  </si>
  <si>
    <t xml:space="preserve">Livrables / résultats clés</t>
  </si>
  <si>
    <t xml:space="preserve">Leviers de Meadows</t>
  </si>
  <si>
    <t xml:space="preserve">Niveau de levier</t>
  </si>
  <si>
    <t xml:space="preserve">Complexité du problème</t>
  </si>
  <si>
    <t xml:space="preserve">Acteurs impliqués</t>
  </si>
  <si>
    <t xml:space="preserve">Origine</t>
  </si>
  <si>
    <t xml:space="preserve">Évaluation de référence</t>
  </si>
  <si>
    <t xml:space="preserve">  Financement de projets</t>
  </si>
  <si>
    <t xml:space="preserve">Financement projets</t>
  </si>
  <si>
    <t xml:space="preserve">AAP — R&amp;D, démonstrateurs, déploiement</t>
  </si>
  <si>
    <t xml:space="preserve">Subventions, cofinancement, avances remboursables</t>
  </si>
  <si>
    <t xml:space="preserve">Prototypes, infra, CO₂ évité, filières structurées</t>
  </si>
  <si>
    <t xml:space="preserve">Paramètres (12), Stocks (11-10), Flux (10)</t>
  </si>
  <si>
    <t xml:space="preserve">Moyen</t>
  </si>
  <si>
    <t xml:space="preserve">Compliqué → Complexe</t>
  </si>
  <si>
    <t xml:space="preserve">Entreprises (PME, ETI, GE), collectivités, labos de recherche</t>
  </si>
  <si>
    <t xml:space="preserve">Référentiel ADEME</t>
  </si>
  <si>
    <t xml:space="preserve">Corpus ART (Eval globale grille, Synthèse Meadows)</t>
  </si>
  <si>
    <t xml:space="preserve">AMI — Appels à manifestation d'intérêt</t>
  </si>
  <si>
    <t xml:space="preserve">Faible / pré-financement d'études</t>
  </si>
  <si>
    <t xml:space="preserve">Cartographie projets, maturation de filières</t>
  </si>
  <si>
    <t xml:space="preserve">Flux d'information (6), Auto-organisation (4)</t>
  </si>
  <si>
    <t xml:space="preserve">Acteurs territoriaux ou sectoriels, réseaux professionnels</t>
  </si>
  <si>
    <t xml:space="preserve">Fonds dédiés (Chaleur, Déchets, Air, Éco. Circ.)</t>
  </si>
  <si>
    <t xml:space="preserve">Subventions standardisées, barèmes, aides au CAPEX</t>
  </si>
  <si>
    <t xml:space="preserve">Capacités installées, tonnes CO₂ évitées</t>
  </si>
  <si>
    <t xml:space="preserve">Faible à moyen</t>
  </si>
  <si>
    <t xml:space="preserve">Collectivités, exploitants d'infrastructures, industriels</t>
  </si>
  <si>
    <t xml:space="preserve">Programme CEE</t>
  </si>
  <si>
    <t xml:space="preserve">Subventions animation, études et accompagnement</t>
  </si>
  <si>
    <t xml:space="preserve">Démonstrateurs, formation, prototypes, services</t>
  </si>
  <si>
    <t xml:space="preserve">Ministères, industriels</t>
  </si>
  <si>
    <t xml:space="preserve">Fonds européens (Horizon Europe / LIFE)</t>
  </si>
  <si>
    <t xml:space="preserve">Candidatures à financements européens</t>
  </si>
  <si>
    <t xml:space="preserve">Financements levés, projets co-financés</t>
  </si>
  <si>
    <t xml:space="preserve">Paramètres (12), Stocks (11-10)</t>
  </si>
  <si>
    <t xml:space="preserve">Faible</t>
  </si>
  <si>
    <t xml:space="preserve">CINEA, Commission européenne</t>
  </si>
  <si>
    <t xml:space="preserve">Corpus ART ; SPAFTE 2026 annexe II (UE) — voir Évaluations E00</t>
  </si>
  <si>
    <t xml:space="preserve">  Financement de garantie</t>
  </si>
  <si>
    <t xml:space="preserve">Garantie</t>
  </si>
  <si>
    <t xml:space="preserve">Fonds de garantie (AquaPc, Géothermie)</t>
  </si>
  <si>
    <t xml:space="preserve">Cotisation maîtres d'ouvrage, partage des risques</t>
  </si>
  <si>
    <t xml:space="preserve">Partage risques naturels et technologiques</t>
  </si>
  <si>
    <t xml:space="preserve">Compliqué</t>
  </si>
  <si>
    <t xml:space="preserve">Maître d'ouvrage, Caisse des dépôts</t>
  </si>
  <si>
    <t xml:space="preserve">  Programmes structurants</t>
  </si>
  <si>
    <t xml:space="preserve">Prog. structurants</t>
  </si>
  <si>
    <t xml:space="preserve">Programmes territoriaux (COT, CRTE, ATEnEE)</t>
  </si>
  <si>
    <t xml:space="preserve">Stratégies territoriales, PCAET, gouvernance locale</t>
  </si>
  <si>
    <t xml:space="preserve">Auto-organisation (4), Flux info (6), Objectifs (3)</t>
  </si>
  <si>
    <t xml:space="preserve">Élevé</t>
  </si>
  <si>
    <t xml:space="preserve">Complexe → Vicieux</t>
  </si>
  <si>
    <t xml:space="preserve">EPCI, Régions, services de l'État</t>
  </si>
  <si>
    <t xml:space="preserve">Programmes expérimentaux (Extrême Défi…)</t>
  </si>
  <si>
    <t xml:space="preserve">Financement exploratoire par étapes, prototypes</t>
  </si>
  <si>
    <t xml:space="preserve">Ruptures de modèles, objets frugaux, filières locales</t>
  </si>
  <si>
    <t xml:space="preserve">Paradigmes (2), Buts du système (3)</t>
  </si>
  <si>
    <t xml:space="preserve">Très élevé</t>
  </si>
  <si>
    <t xml:space="preserve">Vicieux (wicked)</t>
  </si>
  <si>
    <t xml:space="preserve">Innovateurs, makers, industriels, territoires</t>
  </si>
  <si>
    <t xml:space="preserve">Programmes partenariaux (ex. ADEME-Total)</t>
  </si>
  <si>
    <t xml:space="preserve">Financement mixte public/privé, fonds conjoint</t>
  </si>
  <si>
    <t xml:space="preserve">Filières émergentes, innovation accélérée</t>
  </si>
  <si>
    <t xml:space="preserve">Règles (5), Boucles (7-8), Auto-organisation (4)</t>
  </si>
  <si>
    <t xml:space="preserve">Grands groupes, PME, recherche</t>
  </si>
  <si>
    <t xml:space="preserve">  Production de connaissances</t>
  </si>
  <si>
    <t xml:space="preserve">Prod. connaissances</t>
  </si>
  <si>
    <t xml:space="preserve">Études prospectives et scénarios (TRANSITIONS 2050)</t>
  </si>
  <si>
    <t xml:space="preserve">Budget interne ou études externalisées</t>
  </si>
  <si>
    <t xml:space="preserve">Scénarios, visions long terme, récits prospectifs</t>
  </si>
  <si>
    <t xml:space="preserve">Objectifs du système (3), Paradigmes (2)</t>
  </si>
  <si>
    <t xml:space="preserve">Experts, économistes, sociologues</t>
  </si>
  <si>
    <t xml:space="preserve">Corpus documentaire (guides, référentiels, CRACC…)</t>
  </si>
  <si>
    <t xml:space="preserve">Budget interne, prestation de rédaction</t>
  </si>
  <si>
    <t xml:space="preserve">Guides techniques, avis d'expert, standards</t>
  </si>
  <si>
    <t xml:space="preserve">Flux d'information (6), Règles (5)</t>
  </si>
  <si>
    <t xml:space="preserve">Simple → Compliqué</t>
  </si>
  <si>
    <t xml:space="preserve">Experts ADEME, réseaux professionnels, consultants</t>
  </si>
  <si>
    <t xml:space="preserve">Bases de données, open data, outils numériques</t>
  </si>
  <si>
    <t xml:space="preserve">Budget interne, subvention</t>
  </si>
  <si>
    <t xml:space="preserve">Open data, outils d'aide à la décision</t>
  </si>
  <si>
    <t xml:space="preserve">Entreprises, collectivités, labos de recherche</t>
  </si>
  <si>
    <t xml:space="preserve">  Influence réglementaire</t>
  </si>
  <si>
    <t xml:space="preserve">Influence réglementaire</t>
  </si>
  <si>
    <t xml:space="preserve">Expertise et appui législatif auprès de l'État</t>
  </si>
  <si>
    <t xml:space="preserve">Budget interne (temps d'expertise)</t>
  </si>
  <si>
    <t xml:space="preserve">Lois, décrets, notes d'arbitrage, avis techniques</t>
  </si>
  <si>
    <t xml:space="preserve">Buts du système (3), Règles (5)</t>
  </si>
  <si>
    <t xml:space="preserve">Ministères, Parlement, cabinets ministériels</t>
  </si>
  <si>
    <t xml:space="preserve">Appui normes et labels (AFNOR, ISO)</t>
  </si>
  <si>
    <t xml:space="preserve">Budget interne, ingénierie de certification</t>
  </si>
  <si>
    <t xml:space="preserve">Normes, standards, labels (Ecolabel, Flamme Verte…)</t>
  </si>
  <si>
    <t xml:space="preserve">Règles (5)</t>
  </si>
  <si>
    <t xml:space="preserve">AFNOR, ISO, filières professionnelles, ministères</t>
  </si>
  <si>
    <t xml:space="preserve">  Soft power / récits</t>
  </si>
  <si>
    <t xml:space="preserve">Soft power / récits</t>
  </si>
  <si>
    <t xml:space="preserve">Communication stratégique et plaidoyer</t>
  </si>
  <si>
    <t xml:space="preserve">Budget interne, campagnes média, achat d'espace</t>
  </si>
  <si>
    <t xml:space="preserve">Changement représentations, évolution imaginaires</t>
  </si>
  <si>
    <t xml:space="preserve">Médias, grand public, jeunesse</t>
  </si>
  <si>
    <t xml:space="preserve">  Animation &amp; réseaux</t>
  </si>
  <si>
    <t xml:space="preserve">Animation &amp; réseaux</t>
  </si>
  <si>
    <t xml:space="preserve">Animation de filières et réseaux professionnels</t>
  </si>
  <si>
    <t xml:space="preserve">Subventions de fonctionnement, financement ETP</t>
  </si>
  <si>
    <t xml:space="preserve">Coopération, apprentissage collectif, bonnes pratiques</t>
  </si>
  <si>
    <t xml:space="preserve">Auto-organisation (4), Boucles de rétroaction (7)</t>
  </si>
  <si>
    <t xml:space="preserve">Réseaux, associations, territoires, animateurs</t>
  </si>
  <si>
    <t xml:space="preserve">Structures juridiques relais (fabmob, S.A.…)</t>
  </si>
  <si>
    <t xml:space="preserve">Plaidoyer indépendant, relais d'action</t>
  </si>
  <si>
    <t xml:space="preserve">Réseaux, associations, animateurs</t>
  </si>
  <si>
    <t xml:space="preserve">  Production de communs et communautés ouvertes</t>
  </si>
  <si>
    <t xml:space="preserve">Prod. de communs</t>
  </si>
  <si>
    <t xml:space="preserve">Appel à Communs, startup d'état, Hackathon</t>
  </si>
  <si>
    <t xml:space="preserve">Subvention conditionnée à l'Open Source / Open Data</t>
  </si>
  <si>
    <t xml:space="preserve">Ressources libres, bases de données partagées</t>
  </si>
  <si>
    <t xml:space="preserve">Startups, citoyens, chercheurs, communautés</t>
  </si>
  <si>
    <t xml:space="preserve">  Cognitives et Capacitantes</t>
  </si>
  <si>
    <t xml:space="preserve">Cognitives</t>
  </si>
  <si>
    <t xml:space="preserve">Formation et montée en compétence</t>
  </si>
  <si>
    <t xml:space="preserve">Marchés de formation, ingénierie pédagogique</t>
  </si>
  <si>
    <t xml:space="preserve">Professionnels qualifiés (Label RGE), référentiels</t>
  </si>
  <si>
    <t xml:space="preserve">Flux d'information (6)</t>
  </si>
  <si>
    <t xml:space="preserve">Organismes de formation, artisans, élus</t>
  </si>
  <si>
    <t xml:space="preserve">  Commande publique</t>
  </si>
  <si>
    <t xml:space="preserve">Commande publique</t>
  </si>
  <si>
    <t xml:space="preserve">Appels d'offres / marchés d'études</t>
  </si>
  <si>
    <t xml:space="preserve">Marchés publics, bons de commande</t>
  </si>
  <si>
    <t xml:space="preserve">Rapports d'étude, scénarios, méthodologies</t>
  </si>
  <si>
    <t xml:space="preserve">Flux d'information (6), Délais (9)</t>
  </si>
  <si>
    <t xml:space="preserve">Cabinets d'études, chercheurs, bureaux d'ingénierie</t>
  </si>
  <si>
    <t xml:space="preserve">  État — Signal-prix et fiscalité (ajouts SPAFTE 2026)</t>
  </si>
  <si>
    <t xml:space="preserve">Signal-prix</t>
  </si>
  <si>
    <t xml:space="preserve">Fiscalité incitative et bonus-malus (malus CO2 et masse, taxes sur les flottes, TVA différenciée PAC / chaudières fossiles)</t>
  </si>
  <si>
    <t xml:space="preserve">Recette publique ou neutralité ; pas de dépense budgétaire</t>
  </si>
  <si>
    <t xml:space="preserve">Rentabilité relative des actifs bas-carbone améliorée, recettes</t>
  </si>
  <si>
    <t xml:space="preserve">Paramètres (12), Boucles régulatrices (8)</t>
  </si>
  <si>
    <t xml:space="preserve">DLF, DG Trésor, ménages, entreprises</t>
  </si>
  <si>
    <t xml:space="preserve">Ajout SPAFTE 2026</t>
  </si>
  <si>
    <t xml:space="preserve">Voir onglet Évaluations, E01</t>
  </si>
  <si>
    <t xml:space="preserve">Obligations d'incorporation et marchés de quotas (TIRUERT puis IRICC, SEQE 1 et 2)</t>
  </si>
  <si>
    <t xml:space="preserve">Coût porté par les obligés, répercuté sur les prix</t>
  </si>
  <si>
    <t xml:space="preserve">Intensité carbone réduite, signal-prix carbone</t>
  </si>
  <si>
    <t xml:space="preserve">Paramètres (12), Règles (5)</t>
  </si>
  <si>
    <t xml:space="preserve">DGEC, fournisseurs d'énergie, industriels</t>
  </si>
  <si>
    <t xml:space="preserve">Voir onglet Évaluations, E02</t>
  </si>
  <si>
    <t xml:space="preserve">  État — Réglementation et contrôle (ajouts SPAFTE 2026)</t>
  </si>
  <si>
    <t xml:space="preserve">Réglementation</t>
  </si>
  <si>
    <t xml:space="preserve">Norme progressive et obligation calendaire (décret éco-énergie tertiaire, rénovation du parc locatif, fin du gaz dans le neuf)</t>
  </si>
  <si>
    <t xml:space="preserve">Coût porté par les assujettis</t>
  </si>
  <si>
    <t xml:space="preserve">Gisements déclenchés chez les acteurs solvables, données déclaratives (OPERAT)</t>
  </si>
  <si>
    <t xml:space="preserve">Règles (5), Délais (9)</t>
  </si>
  <si>
    <t xml:space="preserve">DHUP, DGEC, propriétaires bailleurs, entreprises</t>
  </si>
  <si>
    <t xml:space="preserve">Voir onglet Évaluations, E03</t>
  </si>
  <si>
    <t xml:space="preserve">Interdiction ciblée (publicité pour les énergies fossiles, nouvelles chaudières fioul)</t>
  </si>
  <si>
    <t xml:space="preserve">Aucun financement</t>
  </si>
  <si>
    <t xml:space="preserve">Retrait de l'alternative carbonée</t>
  </si>
  <si>
    <t xml:space="preserve">Règles (5), Flux d'information (6)</t>
  </si>
  <si>
    <t xml:space="preserve">État, annonceurs, installateurs</t>
  </si>
  <si>
    <t xml:space="preserve">Voir onglet Évaluations, E04</t>
  </si>
  <si>
    <t xml:space="preserve">Contrôle et sanction des obligations (police de l'eau, contrôle des aides et des producteurs)</t>
  </si>
  <si>
    <t xml:space="preserve">Budget de fonctionnement (agents de contrôle)</t>
  </si>
  <si>
    <t xml:space="preserve">Effectivité de la norme, conformité</t>
  </si>
  <si>
    <t xml:space="preserve">Boucles régulatrices (8), Règles (5)</t>
  </si>
  <si>
    <t xml:space="preserve">Services déconcentrés, OFB, CRE</t>
  </si>
  <si>
    <t xml:space="preserve">Voir onglet Évaluations, E05</t>
  </si>
  <si>
    <t xml:space="preserve">Conditionnalité des aides (label RGE, poids maximal du véhicule, écoconditionnalité, éco-score)</t>
  </si>
  <si>
    <t xml:space="preserve">Sans coût additionnel</t>
  </si>
  <si>
    <t xml:space="preserve">Qualité des travaux, sobriété, préférence européenne</t>
  </si>
  <si>
    <t xml:space="preserve">Règles (5), Paramètres (12)</t>
  </si>
  <si>
    <t xml:space="preserve">Financeurs publics, bénéficiaires</t>
  </si>
  <si>
    <t xml:space="preserve">Voir onglet Évaluations, E06</t>
  </si>
  <si>
    <t xml:space="preserve">  État — Prêts, garanties et partage des risques (ajouts SPAFTE 2026)</t>
  </si>
  <si>
    <t xml:space="preserve">Instruments financiers</t>
  </si>
  <si>
    <t xml:space="preserve">Prêt bonifié à taux zéro (éco-PTZ, éco-PLS)</t>
  </si>
  <si>
    <t xml:space="preserve">Bonification d'intérêts / crédit d'impôt aux banques</t>
  </si>
  <si>
    <t xml:space="preserve">Accès au crédit, opérations solvabilisées</t>
  </si>
  <si>
    <t xml:space="preserve">Paramètres (12), Stocks (11)</t>
  </si>
  <si>
    <t xml:space="preserve">DHUP, banques, ménages, bailleurs sociaux</t>
  </si>
  <si>
    <t xml:space="preserve">Voir onglet Évaluations, E07</t>
  </si>
  <si>
    <t xml:space="preserve">Prêts verts des banques publiques</t>
  </si>
  <si>
    <t xml:space="preserve">Garanties et bonifications de taux</t>
  </si>
  <si>
    <t xml:space="preserve">Investissements des collectivités et des PME</t>
  </si>
  <si>
    <t xml:space="preserve">Paramètres (12)</t>
  </si>
  <si>
    <t xml:space="preserve">CDC, Banque des Territoires, Bpifrance, La Banque Postale</t>
  </si>
  <si>
    <t xml:space="preserve">Voir onglet Évaluations, E08</t>
  </si>
  <si>
    <t xml:space="preserve">Garanties publiques et partage du risque (fonds Bpifrance, chaleur fatale) — extension du fonds de garantie ADEME</t>
  </si>
  <si>
    <t xml:space="preserve">Provision de garantie</t>
  </si>
  <si>
    <t xml:space="preserve">Risque transféré, crédit débloqué</t>
  </si>
  <si>
    <t xml:space="preserve">Paramètres (12), Stocks tampons (11)</t>
  </si>
  <si>
    <t xml:space="preserve">Bpifrance, État, porteurs de projet</t>
  </si>
  <si>
    <t xml:space="preserve">Voir onglet Évaluations, E09</t>
  </si>
  <si>
    <t xml:space="preserve">Contrat pour différence (électricité) et contrat carbone pour différence (industrie)</t>
  </si>
  <si>
    <t xml:space="preserve">Versement ou récupération de l'écart à un prix de référence, 15 à 20 ans</t>
  </si>
  <si>
    <t xml:space="preserve">Risque prix transféré à l'État, projets lourds financés</t>
  </si>
  <si>
    <t xml:space="preserve">DGEC, CRE, producteurs, industriels</t>
  </si>
  <si>
    <t xml:space="preserve">Voir onglet Évaluations, E10</t>
  </si>
  <si>
    <t xml:space="preserve">Obligations vertes souveraines (OAT vertes)</t>
  </si>
  <si>
    <t xml:space="preserve">Emprunt fléché vers des dépenses vertes</t>
  </si>
  <si>
    <t xml:space="preserve">Diversification des investisseurs, dépenses vertes financées</t>
  </si>
  <si>
    <t xml:space="preserve">Paramètres (12), Flux d'information (6)</t>
  </si>
  <si>
    <t xml:space="preserve">Agence France Trésor</t>
  </si>
  <si>
    <t xml:space="preserve">Voir onglet Évaluations, E11</t>
  </si>
  <si>
    <t xml:space="preserve">  État — Aides ciblées à la demande (ajouts SPAFTE 2026)</t>
  </si>
  <si>
    <t xml:space="preserve">Aides ciblées</t>
  </si>
  <si>
    <t xml:space="preserve">Location aidée (leasing social de véhicules électriques)</t>
  </si>
  <si>
    <t xml:space="preserve">Subvention par contrat (budgétaire puis CEE)</t>
  </si>
  <si>
    <t xml:space="preserve">Ménages modestes équipés, filière soutenue</t>
  </si>
  <si>
    <t xml:space="preserve">Paramètres (12), Flux (10)</t>
  </si>
  <si>
    <t xml:space="preserve">État, constructeurs, loueurs, ménages modestes</t>
  </si>
  <si>
    <t xml:space="preserve">Voir onglet Évaluations, E12</t>
  </si>
  <si>
    <t xml:space="preserve">Primes à l'achat ciblées (coup de pouce CEE, grands rouleurs, surprime production européenne)</t>
  </si>
  <si>
    <t xml:space="preserve">CEE (extra-budgétaire)</t>
  </si>
  <si>
    <t xml:space="preserve">Achats déclenchés, préférence européenne</t>
  </si>
  <si>
    <t xml:space="preserve">DGEC, obligés CEE, ménages</t>
  </si>
  <si>
    <t xml:space="preserve">Voir onglet Évaluations, E13</t>
  </si>
  <si>
    <t xml:space="preserve">Offre intégrée « clé en main » (PAC : installation, maintenance, financement)</t>
  </si>
  <si>
    <t xml:space="preserve">Mixte public-privé</t>
  </si>
  <si>
    <t xml:space="preserve">Parcours simplifié, freins non financiers levés</t>
  </si>
  <si>
    <t xml:space="preserve">État, énergéticiens, installateurs</t>
  </si>
  <si>
    <t xml:space="preserve">Voir onglet Évaluations, E14</t>
  </si>
  <si>
    <t xml:space="preserve">  État — Mécanismes de marché, certification et paiements (ajouts SPAFTE 2026)</t>
  </si>
  <si>
    <t xml:space="preserve">Marché et certification</t>
  </si>
  <si>
    <t xml:space="preserve">Certification carbone volontaire (Label bas-carbone)</t>
  </si>
  <si>
    <t xml:space="preserve">Financement privé des réductions certifiées</t>
  </si>
  <si>
    <t xml:space="preserve">Projets forestiers et agricoles, tonnes certifiées</t>
  </si>
  <si>
    <t xml:space="preserve">Complexe</t>
  </si>
  <si>
    <t xml:space="preserve">DGEC, porteurs de projets, financeurs volontaires</t>
  </si>
  <si>
    <t xml:space="preserve">Voir onglet Évaluations, E15</t>
  </si>
  <si>
    <t xml:space="preserve">Crédits biodiversité (sites « France Crédits biodiversité »)</t>
  </si>
  <si>
    <t xml:space="preserve">Financement privé</t>
  </si>
  <si>
    <t xml:space="preserve">Restauration écologique</t>
  </si>
  <si>
    <t xml:space="preserve">État, opérateurs de compensation, entreprises</t>
  </si>
  <si>
    <t xml:space="preserve">Voir onglet Évaluations, E16</t>
  </si>
  <si>
    <t xml:space="preserve">Paiements pour services environnementaux (PSE)</t>
  </si>
  <si>
    <t xml:space="preserve">Paiement public au résultat (90 à 130 €/ha/an)</t>
  </si>
  <si>
    <t xml:space="preserve">Pratiques agricoles favorables à l'eau et à la biodiversité</t>
  </si>
  <si>
    <t xml:space="preserve">Agences de l'eau, collectivités, agriculteurs</t>
  </si>
  <si>
    <t xml:space="preserve">Voir onglet Évaluations, E17</t>
  </si>
  <si>
    <t xml:space="preserve">Responsabilité élargie du producteur et éco-modulation</t>
  </si>
  <si>
    <t xml:space="preserve">Éco-contributions des producteurs</t>
  </si>
  <si>
    <t xml:space="preserve">Collecte, recyclage, écoconception</t>
  </si>
  <si>
    <t xml:space="preserve">Règles (5), Boucles régulatrices (8)</t>
  </si>
  <si>
    <t xml:space="preserve">Éco-organismes, producteurs, collectivités</t>
  </si>
  <si>
    <t xml:space="preserve">Voir onglet Évaluations, E18</t>
  </si>
  <si>
    <t xml:space="preserve">Redevances et tarification incitative (agences de l'eau, prix de l'eau, TEOM / REOM incitative)</t>
  </si>
  <si>
    <t xml:space="preserve">Recettes affectées</t>
  </si>
  <si>
    <t xml:space="preserve">Sobriété, financement des infrastructures</t>
  </si>
  <si>
    <t xml:space="preserve">Agences de l'eau, collectivités, usagers</t>
  </si>
  <si>
    <t xml:space="preserve">Voir onglet Évaluations, E19</t>
  </si>
  <si>
    <t xml:space="preserve">  État — Accompagnement, territoires et mobilisation (ajouts SPAFTE 2026)</t>
  </si>
  <si>
    <t xml:space="preserve">Accompagnement</t>
  </si>
  <si>
    <t xml:space="preserve">Accompagnement individualisé obligatoire (Mon Accompagnateur Rénov', France Rénov')</t>
  </si>
  <si>
    <t xml:space="preserve">Subvention / CEE</t>
  </si>
  <si>
    <t xml:space="preserve">Parcours sécurisé, qualité des projets</t>
  </si>
  <si>
    <t xml:space="preserve">ANAH, opérateurs agréés, ménages</t>
  </si>
  <si>
    <t xml:space="preserve">Voir onglet Évaluations, E20</t>
  </si>
  <si>
    <t xml:space="preserve">Dotations d'investissement aux collectivités (Fonds vert, DSIL, DETR)</t>
  </si>
  <si>
    <t xml:space="preserve">Subvention</t>
  </si>
  <si>
    <t xml:space="preserve">Projets locaux de transition</t>
  </si>
  <si>
    <t xml:space="preserve">Préfets, collectivités</t>
  </si>
  <si>
    <t xml:space="preserve">Voir onglet Évaluations, E21</t>
  </si>
  <si>
    <t xml:space="preserve">Mobilisation nationale et pactes de filière (engagements volontaires, 100 territoires d'électrification)</t>
  </si>
  <si>
    <t xml:space="preserve">Peu de financement direct</t>
  </si>
  <si>
    <t xml:space="preserve">Engagements privés, offres nouvelles</t>
  </si>
  <si>
    <t xml:space="preserve">Buts (3), Auto-organisation (4)</t>
  </si>
  <si>
    <t xml:space="preserve">Gouvernement, filières, entreprises</t>
  </si>
  <si>
    <t xml:space="preserve">Voir onglet Évaluations, E22</t>
  </si>
  <si>
    <t xml:space="preserve">Mécénat et fonds de dotation (forêt, biodiversité)</t>
  </si>
  <si>
    <t xml:space="preserve">Financement privé défiscalisé</t>
  </si>
  <si>
    <t xml:space="preserve">Projets financés hors budget public</t>
  </si>
  <si>
    <t xml:space="preserve">ONF-Agir pour la forêt, entreprises</t>
  </si>
  <si>
    <t xml:space="preserve">Voir onglet Évaluations, E23</t>
  </si>
  <si>
    <t xml:space="preserve">Niveau de levier — code couleur : Rouge = Très élevé  ·  Ocre = Élevé  ·  Vert = Moyen  ·  Teal = Faible à moyen  ·  Bleu = Faible</t>
  </si>
  <si>
    <t xml:space="preserve">Lignes bleu-gris : instruments portés par l'État ou d'autres acteurs, recensés dans la SPAFTE 2026 (chapitre 3, encadré 7 ; chapitre 4, encadré 11) et absents du référentiel ADEME initial. Niveau de levier et leviers de Meadows attribués par analogie avec le référentiel, à valider sur le corpus.</t>
  </si>
  <si>
    <t xml:space="preserve">Évaluations détaillées des modes d'intervention ajoutés (SPAFTE 2026)</t>
  </si>
  <si>
    <t xml:space="preserve">Une ligne par mode. « Aucune évaluation trouvée » = pas d'évaluation publiée accessible en ligne au 14/10/2026 : mode à documenter en priorité dans le corpus ART. Robustesse : Élevée = évaluation indépendante ou contrôle ; Moyenne = bilan indépendant sans contrefactuel ; Faible = données de suivi ou plaidoyer.</t>
  </si>
  <si>
    <t xml:space="preserve">ID</t>
  </si>
  <si>
    <t xml:space="preserve">Dispositif évalué</t>
  </si>
  <si>
    <t xml:space="preserve">Évaluateur</t>
  </si>
  <si>
    <t xml:space="preserve">Date</t>
  </si>
  <si>
    <t xml:space="preserve">Résultats chiffrés</t>
  </si>
  <si>
    <t xml:space="preserve">Effet d'aubaine, limites</t>
  </si>
  <si>
    <t xml:space="preserve">Enseignement pour ART</t>
  </si>
  <si>
    <t xml:space="preserve">Robustesse de la preuve</t>
  </si>
  <si>
    <t xml:space="preserve">Source</t>
  </si>
  <si>
    <t xml:space="preserve">E00</t>
  </si>
  <si>
    <t xml:space="preserve">Fonds européens (déjà au référentiel)</t>
  </si>
  <si>
    <t xml:space="preserve">LIFE, FEDER, Horizon Europe, Fonds pour l'innovation</t>
  </si>
  <si>
    <t xml:space="preserve">SPAFTE 2026 ; Cour des comptes RPTE 2026</t>
  </si>
  <si>
    <t xml:space="preserve">2026</t>
  </si>
  <si>
    <t xml:space="preserve">France 1er pays bénéficiaire du fonds LIFE (SPAFTE). Région Grand Est : 4,1 M€ de fonds propres pour jusqu'à 15,6 M€ de fonds européens LIFE (RPTE). AO GPID : 6 Md€ de fonds européens mobilisés.</t>
  </si>
  <si>
    <t xml:space="preserve">Cofinancements rarement consolidés avec les aides nationales (RPTE chap. IV).</t>
  </si>
  <si>
    <t xml:space="preserve">Toujours consolider fonds européens et nationaux pour mesurer l'effet réel d'une aide.</t>
  </si>
  <si>
    <t xml:space="preserve">Moyenne</t>
  </si>
  <si>
    <t xml:space="preserve">SPAFTE 2026, annexe II ; Cour des comptes, RPTE 2026, chap. II et IV</t>
  </si>
  <si>
    <t xml:space="preserve">E01</t>
  </si>
  <si>
    <t xml:space="preserve">Fiscalité incitative et bonus-malus</t>
  </si>
  <si>
    <t xml:space="preserve">Bonus-malus automobile</t>
  </si>
  <si>
    <t xml:space="preserve">I4CE (Kessler, Morvillier, Perrier, Rucheton)</t>
  </si>
  <si>
    <t xml:space="preserve">Sept. 2021</t>
  </si>
  <si>
    <t xml:space="preserve">Barème 2022-2025 : −7 à −14 % d'émissions du parc neuf entre 2020 et 2025, contre −28 % requis par la SNBC. Coût &gt; 1,4 Md€ sur les 4 premières années, excédents 2014-2018 ; prime à la conversion 820 M€ en 2019. Barèmes plus sévères : −15 à −25 % et 1,8 à 4,3 Md€ de recettes nettes.</t>
  </si>
  <si>
    <t xml:space="preserve">Prime à la conversion finançant à plus de 85 % des véhicules thermiques ; malus CO2 seul favorisant diesel et SUV ; stockage avant changement de norme.</t>
  </si>
  <si>
    <t xml:space="preserve">Un signal-prix n'est efficace que si son barème est calibré sur la trajectoire ; exiger une évaluation ex ante de chaque barème.</t>
  </si>
  <si>
    <t xml:space="preserve">https://www.i4ce.org/wp-content/uploads/I4CE_BonusMalusAutomobiles-2.pdf</t>
  </si>
  <si>
    <t xml:space="preserve">E02</t>
  </si>
  <si>
    <t xml:space="preserve">Obligations d'incorporation et quotas</t>
  </si>
  <si>
    <t xml:space="preserve">Certificats d'économies d'énergie (obligation des fournisseurs)</t>
  </si>
  <si>
    <t xml:space="preserve">Cour des comptes</t>
  </si>
  <si>
    <t xml:space="preserve">17/09/2024</t>
  </si>
  <si>
    <t xml:space="preserve">≈ 6 Md€/an en 2022-2023, soit 164 € par ménage en 2023 (≈ 4 % de la facture). 106 TWh économisés 2014-2020 (≈ 6,5 % de la consommation), mais économies surestimées d'au moins 30 % en 2022-2023. Non-conformités de 9 à 40 % chez les particuliers.</t>
  </si>
  <si>
    <t xml:space="preserve">Économies théoriques, non mesurées ; chevauchement avec MaPrimeRénov' et Fonds chaleur ; fraude.</t>
  </si>
  <si>
    <t xml:space="preserve">Un mécanisme hors budget n'est pas gratuit : intégrer son coût réel pour les ménages et exiger des économies mesurées.</t>
  </si>
  <si>
    <t xml:space="preserve">Élevée</t>
  </si>
  <si>
    <t xml:space="preserve">https://www.hellowatt.fr/blog/cour-comptes-cee/ (synthèse du rapport Cour des comptes)</t>
  </si>
  <si>
    <t xml:space="preserve">E03</t>
  </si>
  <si>
    <t xml:space="preserve">Norme progressive et obligation calendaire</t>
  </si>
  <si>
    <t xml:space="preserve">Décret éco-énergie tertiaire (OPERAT)</t>
  </si>
  <si>
    <t xml:space="preserve">Cour des comptes (RPTE 2026), d'après ADEME</t>
  </si>
  <si>
    <t xml:space="preserve">Consommation réelle du parc déclaré −26 % en 2024 vs référence (à périmètre constant, corrigé du climat), baisse ralentie depuis 2023. Déclarations ≈ 190 000/an, 560 M m², 46 à 65 % de la surface assujettie.</t>
  </si>
  <si>
    <t xml:space="preserve">Pas de contrefactuel ; méconnaissance de l'obligation ; secret des affaires ; rapprochement incomplet avec la base des assujettis.</t>
  </si>
  <si>
    <t xml:space="preserve">La norme + la donnée déclarative + le croisement des bases (RNB) produisent un résultat mesurable à faible coût public.</t>
  </si>
  <si>
    <t xml:space="preserve">Cour des comptes, RPTE 2026, chap. IV-III.C.2</t>
  </si>
  <si>
    <t xml:space="preserve">E04</t>
  </si>
  <si>
    <t xml:space="preserve">Interdiction ciblée</t>
  </si>
  <si>
    <t xml:space="preserve">Interdiction des nouvelles chaudières fioul (2022), publicité fossile (décret 2026)</t>
  </si>
  <si>
    <t xml:space="preserve">Cour des comptes (RPTE 2026)</t>
  </si>
  <si>
    <t xml:space="preserve">Réorientation au moins transitoire vers les pompes à chaleur et, dans une moindre mesure, la biomasse après juillet 2022.</t>
  </si>
  <si>
    <t xml:space="preserve">Aucune évaluation chiffrée trouvée.</t>
  </si>
  <si>
    <t xml:space="preserve">Annoncer tôt le calendrier d'une interdiction permet aux filières de se structurer.</t>
  </si>
  <si>
    <t xml:space="preserve">Cour des comptes, RPTE 2026, chap. II-I.B.1</t>
  </si>
  <si>
    <t xml:space="preserve">E05</t>
  </si>
  <si>
    <t xml:space="preserve">Contrôle et sanction</t>
  </si>
  <si>
    <t xml:space="preserve">Police environnementale de l'eau</t>
  </si>
  <si>
    <t xml:space="preserve">Avril 2026</t>
  </si>
  <si>
    <t xml:space="preserve">Coût ≈ 130 M€/an face à ≈ 5 Md€/an de dommages liés aux usages de l'eau. Non-conformités +40 % (2019-2024), mises en demeure divisées par 2. En 2024 : 9 009 non-conformités, 404 mises en demeure, 44 amendes (dont 33 dans un département).</t>
  </si>
  <si>
    <t xml:space="preserve">Moyens humains insuffisants ; écarts non sanctionnés qui affaiblissent la norme.</t>
  </si>
  <si>
    <t xml:space="preserve">Une norme sans contrôle n'est pas un instrument : chiffrer le contrôle avec la norme.</t>
  </si>
  <si>
    <t xml:space="preserve">Cour des comptes, RPTE 2026, chap. IV-III.C.1</t>
  </si>
  <si>
    <t xml:space="preserve">E06</t>
  </si>
  <si>
    <t xml:space="preserve">Conditionnalité des aides</t>
  </si>
  <si>
    <t xml:space="preserve">RGE, poids maximal (leasing social), éco-score (bonus)</t>
  </si>
  <si>
    <t xml:space="preserve">—</t>
  </si>
  <si>
    <t xml:space="preserve">Aucune évaluation transversale trouvée. Éco-score : critère d'éligibilité au bonus puis à la prime coup de pouce (RPTE).</t>
  </si>
  <si>
    <t xml:space="preserve">Effet propre de la condition non isolé.</t>
  </si>
  <si>
    <t xml:space="preserve">À documenter : effet de chaque condition sur la qualité, la sobriété, l'origine.</t>
  </si>
  <si>
    <t xml:space="preserve">Aucune évaluation trouvée</t>
  </si>
  <si>
    <t xml:space="preserve">E07</t>
  </si>
  <si>
    <t xml:space="preserve">Prêt bonifié à taux zéro</t>
  </si>
  <si>
    <t xml:space="preserve">Éco-PTZ</t>
  </si>
  <si>
    <t xml:space="preserve">Données de distribution (SGFGAS, presse spécialisée)</t>
  </si>
  <si>
    <t xml:space="preserve">126 030 éco-PTZ en 2025 (≈ 112 500 en 2024, 104 950 en 2023), ≈ 2 Md€ prêtés ; plafond 50 000 € ; travaux RGE obligatoires. Distribution concentrée sur 3 groupes bancaires.</t>
  </si>
  <si>
    <t xml:space="preserve">Pas d'évaluation d'effet incitatif publiée trouvée ; accès inégal selon les banques.</t>
  </si>
  <si>
    <t xml:space="preserve">Mesurer l'additionnalité avant d'étendre ; le canal bancaire conditionne l'accès.</t>
  </si>
  <si>
    <t xml:space="preserve">https://www.les-energies-renouvelables.eu/article/actualites/reglementations/126-030-proprietaires-ont-decroche-un-eco-pret-a-taux-zero-en-2025-un-record-porte-par-trois-banques-seulement-1378/</t>
  </si>
  <si>
    <t xml:space="preserve">E08</t>
  </si>
  <si>
    <t xml:space="preserve">Prêts verts CDC, LBP, Bpifrance, AFD 2014-2024</t>
  </si>
  <si>
    <t xml:space="preserve">≈ 38 Md€, 24 430 prêts, 9 000 bénéficiaires ; 13 % des prêts (4,5 % en Europe). Coût pour l'État 691 M€ (net ≈ 305 M€). Levier : 7 € investis pour 1 € emprunté (PME), 6 € (collectivités). 20 % jugent le prêt déterminant, 30 % plus ambitieux.</t>
  </si>
  <si>
    <t xml:space="preserve">Près de la moitié des bénéficiaires auraient investi sans le prêt ; pas de définition harmonisée.</t>
  </si>
  <si>
    <t xml:space="preserve">Instrument peu coûteux pour l'État mais à forte aubaine : cibler les acteurs à capacité de financement limitée.</t>
  </si>
  <si>
    <t xml:space="preserve">https://www.linfodurable.fr/finance-durable/prets-verts-publics-un-bilan-satisfaisant-selon-la-cour-des-comptes-55834</t>
  </si>
  <si>
    <t xml:space="preserve">E09</t>
  </si>
  <si>
    <t xml:space="preserve">Garanties publiques et partage du risque</t>
  </si>
  <si>
    <t xml:space="preserve">Fonds de garantie Bpifrance (agriculture biologique), géothermie profonde, chaleur fatale</t>
  </si>
  <si>
    <t xml:space="preserve">SPAFTE 2026</t>
  </si>
  <si>
    <t xml:space="preserve">Fonds de garantie Bpifrance doté de 68 M€ (agriculture biologique) ; garanties géothermie depuis 2023 ; mécanisme chaleur fatale annoncé.</t>
  </si>
  <si>
    <t xml:space="preserve">Aucune évaluation d'impact trouvée.</t>
  </si>
  <si>
    <t xml:space="preserve">Pertinent quand le risque n'est pas maîtrisable par le porteur (doctrine de partage des risques).</t>
  </si>
  <si>
    <t xml:space="preserve">SPAFTE 2026, chap. 3 (agriculture, industrie)</t>
  </si>
  <si>
    <t xml:space="preserve">E10</t>
  </si>
  <si>
    <t xml:space="preserve">Contrat pour différence</t>
  </si>
  <si>
    <t xml:space="preserve">Soutiens aux EnR et au biométhane (obligation d'achat, complément de rémunération)</t>
  </si>
  <si>
    <t xml:space="preserve">17/03/2026</t>
  </si>
  <si>
    <t xml:space="preserve">26,3 Md€ sur 2016-2024 (≈ 2,9 Md€/an) ; 87 Md€ d'engagements fin 2024 ; solde net de 4,83 Md€ perçu par l'État en 2022-2023 ; coût 2025 prévu 7,3 Md€. Objectifs PPE 2023 atteints pour le solaire et le biométhane.</t>
  </si>
  <si>
    <t xml:space="preserve">Risque de sur-rémunération faute de connaissance des coûts des filières ; contrôle des producteurs insuffisant ; contrats difficiles à corriger.</t>
  </si>
  <si>
    <t xml:space="preserve">Prévoir des clauses de révision et une connaissance fine des coûts dès la conception.</t>
  </si>
  <si>
    <t xml:space="preserve">https://www.connaissancedesenergies.org/afp/la-cour-des-comptes-appelle-mieux-maitriser-les-dispositifs-de-soutien-aux-energies-renouvelables-260317</t>
  </si>
  <si>
    <t xml:space="preserve">E10b</t>
  </si>
  <si>
    <t xml:space="preserve">Contrat carbone pour différence</t>
  </si>
  <si>
    <t xml:space="preserve">Klimaschutzverträge (Allemagne), 1er tour</t>
  </si>
  <si>
    <t xml:space="preserve">BMWK ; Cour des comptes (RPTE 2026)</t>
  </si>
  <si>
    <t xml:space="preserve">2024</t>
  </si>
  <si>
    <t xml:space="preserve">17 offres pour 5,3 Md€ demandés, budget 4 Md€ ; 15 lauréats pour 2,8 Md€ et jusqu'à 17 MtCO2 évitées sur 15 ans (≈ 165 €/t, calcul indicatif). Sélection au moindre coût par tonne.</t>
  </si>
  <si>
    <t xml:space="preserve">Pas encore de résultats ex post.</t>
  </si>
  <si>
    <t xml:space="preserve">Brique de conception pour l'industrie : sélection concurrentielle au coût par tonne et récupération de l'excédent.</t>
  </si>
  <si>
    <t xml:space="preserve">https://cleanenergywire.org/news/industry-shows-big-interest-german-governments-climate-protection-contracts</t>
  </si>
  <si>
    <t xml:space="preserve">E11</t>
  </si>
  <si>
    <t xml:space="preserve">Obligations vertes souveraines</t>
  </si>
  <si>
    <t xml:space="preserve">OAT vertes</t>
  </si>
  <si>
    <t xml:space="preserve">Sénat, commission des finances (rapport n° 773)</t>
  </si>
  <si>
    <t xml:space="preserve">13/07/2022</t>
  </si>
  <si>
    <t xml:space="preserve">Encours 100,1 Md€ mi-2026 (RPTE). Recommandations : indicateurs d'efficience environnementale des dépenses adossées, alignement sur la taxonomie, ne retenir à terme que les dépenses à efficience démontrée.</t>
  </si>
  <si>
    <t xml:space="preserve">Évaluation d'impact partielle (Conseil d'évaluation des OAT vertes).</t>
  </si>
  <si>
    <t xml:space="preserve">Instrument de financement, pas de déclenchement : neutre pour le choix d'un mode d'intervention.</t>
  </si>
  <si>
    <t xml:space="preserve">https://www.senat.fr/rap/r21-773/r21-7731.html</t>
  </si>
  <si>
    <t xml:space="preserve">E12</t>
  </si>
  <si>
    <t xml:space="preserve">Location aidée</t>
  </si>
  <si>
    <t xml:space="preserve">Leasing social 2024</t>
  </si>
  <si>
    <t xml:space="preserve">T&amp;E, RAC, UFC-Que Choisir, Secours catholique</t>
  </si>
  <si>
    <t xml:space="preserve">Oct. 2024</t>
  </si>
  <si>
    <t xml:space="preserve">Demande deux fois supérieure aux prévisions, arrêt brutal. Loyers dès 49 €/mois au lieu de 100 €. SPAFTE : 100 000 ménages sur deux éditions, 50 000 de plus en 2026 ; loyer ≤ 200 €/mois (2025).</t>
  </si>
  <si>
    <t xml:space="preserve">Touche surtout la classe moyenne ; exclut chômeurs et retraités ; aubaine des concessions ; coût par tonne jugé élevé (contrats de 3 ans).</t>
  </si>
  <si>
    <t xml:space="preserve">Plafonner la subvention (5 000 à 10 000 €/véhicule), allonger les contrats (6 ans), ouvrir aux quadricycles et vélos cargo.</t>
  </si>
  <si>
    <t xml:space="preserve">https://uploads.transportenvironment.org/production/files/2024_10_Recommandations-leasing-social.pdf</t>
  </si>
  <si>
    <t xml:space="preserve">E13</t>
  </si>
  <si>
    <t xml:space="preserve">Primes à l'achat ciblées</t>
  </si>
  <si>
    <t xml:space="preserve">Prime coup de pouce CEE, aide grands rouleurs</t>
  </si>
  <si>
    <t xml:space="preserve">SPAFTE 2026 ; Cour des comptes (filière automobile, avril 2026)</t>
  </si>
  <si>
    <t xml:space="preserve">Prime 3 500 à 7 700 € selon revenus ; grands rouleurs (&gt; 12 000 km/an, D6-D8) jusqu'à 7 700 €. Aides à l'achat 9,4 Md€ 2018-2024 ; bonus : 20 % seulement de voitures assemblées en France (Cour).</t>
  </si>
  <si>
    <t xml:space="preserve">Effet faible au regard des montants (Cour) ; incohérence offre / demande.</t>
  </si>
  <si>
    <t xml:space="preserve">Coupler toute aide à la demande à une analyse de l'offre disponible.</t>
  </si>
  <si>
    <t xml:space="preserve">SPAFTE 2026, chap. 3-2.2 ; Cour des comptes, RPTE 2026, chap. IV-I.D</t>
  </si>
  <si>
    <t xml:space="preserve">E14</t>
  </si>
  <si>
    <t xml:space="preserve">Offre intégrée « clé en main »</t>
  </si>
  <si>
    <t xml:space="preserve">Offre PAC intégrée (octobre 2026)</t>
  </si>
  <si>
    <t xml:space="preserve">Lancée le 1er octobre 2026 : aucune évaluation.</t>
  </si>
  <si>
    <t xml:space="preserve">À suivre : mode nouveau, candidat à une évaluation dès la première année.</t>
  </si>
  <si>
    <t xml:space="preserve">E15</t>
  </si>
  <si>
    <t xml:space="preserve">Certification carbone volontaire</t>
  </si>
  <si>
    <t xml:space="preserve">Label bas-carbone</t>
  </si>
  <si>
    <t xml:space="preserve">I4CE</t>
  </si>
  <si>
    <t xml:space="preserve">Juin 2025</t>
  </si>
  <si>
    <t xml:space="preserve">1 685 projets validés, 6,41 MtCO2 potentielles ; 2,8 Mt validées en 2024 (×2 vs 2023). Prix moyen ≈ 35 €/t (volontaire), 30,7 €/t (demande réglementaire, 40 à 80 % des préfinancements). ≈ 22 % des certificats forestiers potentiels non générés (rabais).</t>
  </si>
  <si>
    <t xml:space="preserve">Certificats ex ante, transparence limitée sur les rabais ; coûts agricoles sous-estimés ; demande volontaire fragile.</t>
  </si>
  <si>
    <t xml:space="preserve">Un marché volontaire tient par une demande réglementaire : prévoir les deux.</t>
  </si>
  <si>
    <t xml:space="preserve">https://www.i4ce.org/wp-content/uploads/2025/06/Le-Label-bas-carbone-quel-bilan-apres-6-ans-dexistence_V2.pdf</t>
  </si>
  <si>
    <t xml:space="preserve">E16</t>
  </si>
  <si>
    <t xml:space="preserve">Crédits biodiversité</t>
  </si>
  <si>
    <t xml:space="preserve">Sites « France Crédits biodiversité »</t>
  </si>
  <si>
    <t xml:space="preserve">Dispositif expérimental, marché qualifié d'embryonnaire.</t>
  </si>
  <si>
    <t xml:space="preserve">Aucune évaluation trouvée.</t>
  </si>
  <si>
    <t xml:space="preserve">Mode à suivre ; risque de marchandisation d'une richesse non mobile.</t>
  </si>
  <si>
    <t xml:space="preserve">SPAFTE 2026, chap. 4-2</t>
  </si>
  <si>
    <t xml:space="preserve">E17</t>
  </si>
  <si>
    <t xml:space="preserve">Paiements pour services environnementaux</t>
  </si>
  <si>
    <t xml:space="preserve">PSE des agences de l'eau</t>
  </si>
  <si>
    <t xml:space="preserve">Insee (Insee Références)</t>
  </si>
  <si>
    <t xml:space="preserve">27/02/2024</t>
  </si>
  <si>
    <t xml:space="preserve">Début 2023 : 121 projets, ≈ 2 700 exploitations, ≈ 250 000 ha ; 90 à 130 €/ha/an sur 5 ans ; 69 % des projets ciblent la qualité de l'eau.</t>
  </si>
  <si>
    <t xml:space="preserve">Résultats environnementaux non encore mesurés ; évaluation en cours.</t>
  </si>
  <si>
    <t xml:space="preserve">Paiement au résultat : modèle pour des contrats à résultat territoriaux.</t>
  </si>
  <si>
    <t xml:space="preserve">https://www.insee.fr/fr/statistiques/7728889</t>
  </si>
  <si>
    <t xml:space="preserve">E18</t>
  </si>
  <si>
    <t xml:space="preserve">Responsabilité élargie du producteur</t>
  </si>
  <si>
    <t xml:space="preserve">Éco-organismes</t>
  </si>
  <si>
    <t xml:space="preserve">Cour des comptes (RPA 2020)</t>
  </si>
  <si>
    <t xml:space="preserve">Février 2020</t>
  </si>
  <si>
    <t xml:space="preserve">1,4 Md€ d'éco-contributions en 2018 ; collecte +46 % (2014-2018) ; recyclage des emballages ménagers 69,7 % en 2018 pour un objectif de 75 % en 2012 ; textiles 40 % de collecte (objectif 50 %).</t>
  </si>
  <si>
    <t xml:space="preserve">Résultats inégaux ; sanction maximale de 30 000 € trop faible ; pilotage de l'État difficile.</t>
  </si>
  <si>
    <t xml:space="preserve">Fixer des objectifs de résultat et des sanctions proportionnées au chiffre d'affaires.</t>
  </si>
  <si>
    <t xml:space="preserve">https://www.banquedesterritoires.fr/eco-organismes-des-resultats-trop-inegaux-et-une-regulation-renforcer-selon-la-cour-des-comptes</t>
  </si>
  <si>
    <t xml:space="preserve">E19</t>
  </si>
  <si>
    <t xml:space="preserve">Redevances et tarification incitative</t>
  </si>
  <si>
    <t xml:space="preserve">Prix de l'eau, redevances des agences de l'eau</t>
  </si>
  <si>
    <t xml:space="preserve">Cour des comptes (tarification des services publics locaux, avril 2026, cité au RPTE)</t>
  </si>
  <si>
    <t xml:space="preserve">Prix de l'eau 4,69 €/m³ (2024) = 0,8 % du budget des ménages ; 85 à 90 % des coûts fixes pour 80 à 90 % de recettes variables.</t>
  </si>
  <si>
    <t xml:space="preserve">Signal-prix peu incitatif ; tension entre sobriété et recettes.</t>
  </si>
  <si>
    <t xml:space="preserve">Combiner part fixe renforcée et part variable liée à la ressource.</t>
  </si>
  <si>
    <t xml:space="preserve">Cour des comptes, RPTE 2026, chap. III-II.B</t>
  </si>
  <si>
    <t xml:space="preserve">E20</t>
  </si>
  <si>
    <t xml:space="preserve">Accompagnement individualisé</t>
  </si>
  <si>
    <t xml:space="preserve">Mon Accompagnateur Rénov'</t>
  </si>
  <si>
    <t xml:space="preserve">Aucune évaluation publiée trouvée.</t>
  </si>
  <si>
    <t xml:space="preserve">À documenter : effet sur le passage à l'acte et la qualité des rénovations.</t>
  </si>
  <si>
    <t xml:space="preserve">E21</t>
  </si>
  <si>
    <t xml:space="preserve">Dotations d'investissement aux collectivités</t>
  </si>
  <si>
    <t xml:space="preserve">Fonds vert</t>
  </si>
  <si>
    <t xml:space="preserve">Sénat (question écrite) ; Cour des comptes</t>
  </si>
  <si>
    <t xml:space="preserve">2025-2026</t>
  </si>
  <si>
    <t xml:space="preserve">1,15 Md€ d'AE en 2025 (2,5 Md€ en 2024 avant réduction) ; 6 385 projets de rénovation énergétique financés. Fonds friches : 1,4 Md€, 2 778 projets, efficience surestimée (Cour).</t>
  </si>
  <si>
    <t xml:space="preserve">Pas d'évaluation formelle ; projets parfois réalisables sans aide (friches).</t>
  </si>
  <si>
    <t xml:space="preserve">Exiger un indicateur physique par projet dans l'outil de suivi.</t>
  </si>
  <si>
    <t xml:space="preserve">https://www.senat.fr/questions/base/2025/qSEQ250605009.html</t>
  </si>
  <si>
    <t xml:space="preserve">E22</t>
  </si>
  <si>
    <t xml:space="preserve">Mobilisation et pactes de filière</t>
  </si>
  <si>
    <t xml:space="preserve">Pactes de l'électrification (2026)</t>
  </si>
  <si>
    <t xml:space="preserve">Aucune évaluation (dispositif de 2026).</t>
  </si>
  <si>
    <t xml:space="preserve">Suivre les engagements annoncés comme des résultats attendus.</t>
  </si>
  <si>
    <t xml:space="preserve">E23</t>
  </si>
  <si>
    <t xml:space="preserve">Mécénat et fonds de dotation</t>
  </si>
  <si>
    <t xml:space="preserve">ONF-Agir pour la forêt</t>
  </si>
  <si>
    <t xml:space="preserve">Éléments chiffrés de la doctrine d'intervention de l'État (SPAFTE 2026)</t>
  </si>
  <si>
    <t xml:space="preserve">Valeurs en bleu = données saisies depuis la source ; valeurs en noir = calculées par formule à partir des lignes citées. Ces paramètres servent de références par défaut dans la méthode ART (onglet suivant).</t>
  </si>
  <si>
    <t xml:space="preserve">Paramètre</t>
  </si>
  <si>
    <t xml:space="preserve">Valeur</t>
  </si>
  <si>
    <t xml:space="preserve">Unité</t>
  </si>
  <si>
    <t xml:space="preserve">Périmètre / précision</t>
  </si>
  <si>
    <t xml:space="preserve">Étape ART qui l'utilise</t>
  </si>
  <si>
    <t xml:space="preserve">P01</t>
  </si>
  <si>
    <t xml:space="preserve">Investissements bas-carbone réalisés en 2024 (périmètre large)</t>
  </si>
  <si>
    <t xml:space="preserve">Md€2024</t>
  </si>
  <si>
    <t xml:space="preserve">Tous acteurs</t>
  </si>
  <si>
    <t xml:space="preserve">1 (objectif)</t>
  </si>
  <si>
    <t xml:space="preserve">SPAFTE 2026, chap. 2</t>
  </si>
  <si>
    <t xml:space="preserve">P02</t>
  </si>
  <si>
    <t xml:space="preserve">Investissements bas-carbone 2024 sur le périmètre où les besoins sont estimables</t>
  </si>
  <si>
    <t xml:space="preserve">Périmètre restreint</t>
  </si>
  <si>
    <t xml:space="preserve">SPAFTE 2026, chap. 2-2</t>
  </si>
  <si>
    <t xml:space="preserve">P03</t>
  </si>
  <si>
    <t xml:space="preserve">Besoin supplémentaire d'investissement bas-carbone en 2030 vs 2024</t>
  </si>
  <si>
    <t xml:space="preserve">Md€2024/an</t>
  </si>
  <si>
    <t xml:space="preserve">P04</t>
  </si>
  <si>
    <t xml:space="preserve">Investissement bas-carbone annuel requis en 2030</t>
  </si>
  <si>
    <t xml:space="preserve">Calcul : P02 + P03</t>
  </si>
  <si>
    <t xml:space="preserve">Calcul</t>
  </si>
  <si>
    <t xml:space="preserve">P05</t>
  </si>
  <si>
    <t xml:space="preserve">Investissements carbonés 2024 (périmètre des besoins)</t>
  </si>
  <si>
    <t xml:space="preserve">Hors construction artificialisante</t>
  </si>
  <si>
    <t xml:space="preserve">0 (levier)</t>
  </si>
  <si>
    <t xml:space="preserve">SPAFTE 2026, chap. 1-2</t>
  </si>
  <si>
    <t xml:space="preserve">P06</t>
  </si>
  <si>
    <t xml:space="preserve">Baisse requise des investissements carbonés d'ici 2030</t>
  </si>
  <si>
    <t xml:space="preserve">Entreprises −27, ménages −6,5, public −3,5</t>
  </si>
  <si>
    <t xml:space="preserve">P07</t>
  </si>
  <si>
    <t xml:space="preserve">Part de la baisse requise des investissements carbonés</t>
  </si>
  <si>
    <t xml:space="preserve">%</t>
  </si>
  <si>
    <t xml:space="preserve">Calcul : P06 / P05</t>
  </si>
  <si>
    <t xml:space="preserve">P08</t>
  </si>
  <si>
    <t xml:space="preserve">Part des administrations publiques dans l'investissement total (FBCF 2025)</t>
  </si>
  <si>
    <t xml:space="preserve">Le privé porte le reste</t>
  </si>
  <si>
    <t xml:space="preserve">2 (instruments)</t>
  </si>
  <si>
    <t xml:space="preserve">SPAFTE 2026, chap. 3-1</t>
  </si>
  <si>
    <t xml:space="preserve">P09</t>
  </si>
  <si>
    <t xml:space="preserve">Part du privé dans l'investissement total</t>
  </si>
  <si>
    <t xml:space="preserve">Calcul : 1 − P08</t>
  </si>
  <si>
    <t xml:space="preserve">P10</t>
  </si>
  <si>
    <t xml:space="preserve">Crédits État et opérateurs pour la planification écologique 2027</t>
  </si>
  <si>
    <t xml:space="preserve">Md€</t>
  </si>
  <si>
    <t xml:space="preserve">PLF 2027</t>
  </si>
  <si>
    <t xml:space="preserve">2 (calibrage)</t>
  </si>
  <si>
    <t xml:space="preserve">SPAFTE 2026, éditorial</t>
  </si>
  <si>
    <t xml:space="preserve">P11</t>
  </si>
  <si>
    <t xml:space="preserve">Financements extra-budgétaires 2027 (dont CEE)</t>
  </si>
  <si>
    <t xml:space="preserve">P12</t>
  </si>
  <si>
    <t xml:space="preserve">Moyens totaux pour la planification écologique 2027</t>
  </si>
  <si>
    <t xml:space="preserve">Calcul : P10 + P11 (37 Md€ en 2023)</t>
  </si>
  <si>
    <t xml:space="preserve">P13</t>
  </si>
  <si>
    <t xml:space="preserve">Pompe à chaleur rentable sans aide (vs chaudière fossile)</t>
  </si>
  <si>
    <t xml:space="preserve">% des cas</t>
  </si>
  <si>
    <t xml:space="preserve">Ménages, cadre fiscal actuel, scénario SNBC 3 AMS</t>
  </si>
  <si>
    <t xml:space="preserve">2 (freins financiers)</t>
  </si>
  <si>
    <t xml:space="preserve">SPAFTE 2026, chap. 3-2.1, d'après CGDD</t>
  </si>
  <si>
    <t xml:space="preserve">P14</t>
  </si>
  <si>
    <t xml:space="preserve">Part des ménages ayant la capacité de financer une PAC sans aide</t>
  </si>
  <si>
    <t xml:space="preserve">% des ménages</t>
  </si>
  <si>
    <t xml:space="preserve">« Quasi-totalité » des 7 dixièmes les plus aisés</t>
  </si>
  <si>
    <t xml:space="preserve">2 (capacité)</t>
  </si>
  <si>
    <t xml:space="preserve">SPAFTE 2026, chap. 3-2.1</t>
  </si>
  <si>
    <t xml:space="preserve">P15</t>
  </si>
  <si>
    <t xml:space="preserve">Ménages modestes (D1-D3) sans capacité de financer une PAC</t>
  </si>
  <si>
    <t xml:space="preserve">% des D1-D3</t>
  </si>
  <si>
    <t xml:space="preserve">Justifie aides ciblées et accès au crédit</t>
  </si>
  <si>
    <t xml:space="preserve">P16</t>
  </si>
  <si>
    <t xml:space="preserve">Coût d'une PAC air/eau individuelle (bas)</t>
  </si>
  <si>
    <t xml:space="preserve">€ HT</t>
  </si>
  <si>
    <t xml:space="preserve">Installation comprise ; 2 à 4 fois une chaudière fossile</t>
  </si>
  <si>
    <t xml:space="preserve">P17</t>
  </si>
  <si>
    <t xml:space="preserve">Coût d'une PAC air/eau individuelle (haut)</t>
  </si>
  <si>
    <t xml:space="preserve">Idem</t>
  </si>
  <si>
    <t xml:space="preserve">P18</t>
  </si>
  <si>
    <t xml:space="preserve">Voiture électrique : achats rentables et finançables sans aide, 1er dixième</t>
  </si>
  <si>
    <t xml:space="preserve">D1 ; 16,7 % précisément</t>
  </si>
  <si>
    <t xml:space="preserve">SPAFTE 2026, encadré 8 (CGDD)</t>
  </si>
  <si>
    <t xml:space="preserve">P19</t>
  </si>
  <si>
    <t xml:space="preserve">Voiture électrique : achats rentables et finançables sans aide, 10e dixième</t>
  </si>
  <si>
    <t xml:space="preserve">D10</t>
  </si>
  <si>
    <t xml:space="preserve">SPAFTE 2026, encadré 8</t>
  </si>
  <si>
    <t xml:space="preserve">P20</t>
  </si>
  <si>
    <t xml:space="preserve">Voiture électrique : achats non finançables, 1er dixième</t>
  </si>
  <si>
    <t xml:space="preserve">&gt; 37 % pour D1 à D3</t>
  </si>
  <si>
    <t xml:space="preserve">P21</t>
  </si>
  <si>
    <t xml:space="preserve">Voiture électrique : achats non finançables, D4 à D7 (bas)</t>
  </si>
  <si>
    <t xml:space="preserve">Fourchette 4 à 21 %</t>
  </si>
  <si>
    <t xml:space="preserve">P22</t>
  </si>
  <si>
    <t xml:space="preserve">Voiture électrique : achats non finançables, D4 à D7 (haut)</t>
  </si>
  <si>
    <t xml:space="preserve">P23</t>
  </si>
  <si>
    <t xml:space="preserve">Voiture électrique : achats non finançables, D8 à D10</t>
  </si>
  <si>
    <t xml:space="preserve">% (plafond)</t>
  </si>
  <si>
    <t xml:space="preserve">« Marginale, inférieure à 2 % »</t>
  </si>
  <si>
    <t xml:space="preserve">P24</t>
  </si>
  <si>
    <t xml:space="preserve">Investissement supplémentaire des ménages en voitures électriques neuves en 2030</t>
  </si>
  <si>
    <t xml:space="preserve">Scénario SNBC 3 AMS, vs 2024</t>
  </si>
  <si>
    <t xml:space="preserve">P25</t>
  </si>
  <si>
    <t xml:space="preserve">Leasing social : distance domicile-travail minimale</t>
  </si>
  <si>
    <t xml:space="preserve">km</t>
  </si>
  <si>
    <t xml:space="preserve">Ou &gt; 8 000 km/an pour l'activité professionnelle</t>
  </si>
  <si>
    <t xml:space="preserve">2 (ciblage)</t>
  </si>
  <si>
    <t xml:space="preserve">SPAFTE 2026, note 116</t>
  </si>
  <si>
    <t xml:space="preserve">P26</t>
  </si>
  <si>
    <t xml:space="preserve">Leasing social : loyer mensuel maximal (édition 2025)</t>
  </si>
  <si>
    <t xml:space="preserve">€/mois</t>
  </si>
  <si>
    <t xml:space="preserve">Hors options ; offres &lt; 140 €</t>
  </si>
  <si>
    <t xml:space="preserve">SPAFTE 2026, note 160</t>
  </si>
  <si>
    <t xml:space="preserve">P27</t>
  </si>
  <si>
    <t xml:space="preserve">Leasing social : ménages bénéficiaires (éditions 2024-2025)</t>
  </si>
  <si>
    <t xml:space="preserve">ménages</t>
  </si>
  <si>
    <t xml:space="preserve">+ 50 000 en 2026</t>
  </si>
  <si>
    <t xml:space="preserve">4 (évaluation)</t>
  </si>
  <si>
    <t xml:space="preserve">SPAFTE 2026, chap. 3-2.2</t>
  </si>
  <si>
    <t xml:space="preserve">P28</t>
  </si>
  <si>
    <t xml:space="preserve">Aide « grands rouleurs » : kilométrage annuel minimal</t>
  </si>
  <si>
    <t xml:space="preserve">km/an</t>
  </si>
  <si>
    <t xml:space="preserve">Ménages D6 à D8</t>
  </si>
  <si>
    <t xml:space="preserve">P29</t>
  </si>
  <si>
    <t xml:space="preserve">Prime à l'achat VE : montant minimal</t>
  </si>
  <si>
    <t xml:space="preserve">€</t>
  </si>
  <si>
    <t xml:space="preserve">Prime coup de pouce CEE, selon revenus</t>
  </si>
  <si>
    <t xml:space="preserve">P30</t>
  </si>
  <si>
    <t xml:space="preserve">Prime à l'achat VE : montant maximal</t>
  </si>
  <si>
    <t xml:space="preserve">Avec bonification batterie européenne</t>
  </si>
  <si>
    <t xml:space="preserve">P31</t>
  </si>
  <si>
    <t xml:space="preserve">Autocar diesel : coût total de possession annuel</t>
  </si>
  <si>
    <t xml:space="preserve">€/an</t>
  </si>
  <si>
    <t xml:space="preserve">10 ans, 31 000 km/an, hors aides</t>
  </si>
  <si>
    <t xml:space="preserve">SPAFTE 2026, encadré 9 (SGPE)</t>
  </si>
  <si>
    <t xml:space="preserve">P32</t>
  </si>
  <si>
    <t xml:space="preserve">Autocar électrique : coût total de possession annuel</t>
  </si>
  <si>
    <t xml:space="preserve">P33</t>
  </si>
  <si>
    <t xml:space="preserve">Surcoût autocar électrique hors aides</t>
  </si>
  <si>
    <t xml:space="preserve">Calcul : (P32 − P31) / P31 ; ≈ +0,2 % avec aides CEE et suramortissement</t>
  </si>
  <si>
    <t xml:space="preserve">P34</t>
  </si>
  <si>
    <t xml:space="preserve">Aide à l'achat d'un poids lourd électrique (tracteur routier)</t>
  </si>
  <si>
    <t xml:space="preserve">€/véhicule</t>
  </si>
  <si>
    <t xml:space="preserve">Objectif 2 000 PL en 2026, 4 000 en 2027</t>
  </si>
  <si>
    <t xml:space="preserve">P35</t>
  </si>
  <si>
    <t xml:space="preserve">Durée type d'un contrat pour différence (électricité)</t>
  </si>
  <si>
    <t xml:space="preserve">ans</t>
  </si>
  <si>
    <t xml:space="preserve">Doctrine de partage des risques</t>
  </si>
  <si>
    <t xml:space="preserve">2 (risques)</t>
  </si>
  <si>
    <t xml:space="preserve">SPAFTE 2026, chap. 3-2.4</t>
  </si>
  <si>
    <t xml:space="preserve">P36</t>
  </si>
  <si>
    <t xml:space="preserve">TVA sur PAC électriques / chaudières fossiles</t>
  </si>
  <si>
    <t xml:space="preserve">20 % pour les chaudières fossiles depuis la LFI 2025</t>
  </si>
  <si>
    <t xml:space="preserve">2 (signal-prix)</t>
  </si>
  <si>
    <t xml:space="preserve">P37</t>
  </si>
  <si>
    <t xml:space="preserve">Crédits 2026 : électrification des voitures particulières</t>
  </si>
  <si>
    <t xml:space="preserve">M€ (CP)</t>
  </si>
  <si>
    <t xml:space="preserve">+ 2 057 M€ extra-budgétaires</t>
  </si>
  <si>
    <t xml:space="preserve">SPAFTE 2026, figure 16</t>
  </si>
  <si>
    <t xml:space="preserve">P38</t>
  </si>
  <si>
    <t xml:space="preserve">Crédits 2026 : mobilités actives (vélo, marche)</t>
  </si>
  <si>
    <t xml:space="preserve">+ 23 M€ extra-budgétaires</t>
  </si>
  <si>
    <t xml:space="preserve">P39</t>
  </si>
  <si>
    <t xml:space="preserve">Crédits 2026 : covoiturage</t>
  </si>
  <si>
    <t xml:space="preserve">+ 2 M€ extra-budgétaires</t>
  </si>
  <si>
    <t xml:space="preserve">P40</t>
  </si>
  <si>
    <t xml:space="preserve">Ratio crédits voiture électrique / mobilités actives</t>
  </si>
  <si>
    <t xml:space="preserve">×</t>
  </si>
  <si>
    <t xml:space="preserve">Calcul : P37 / P38</t>
  </si>
  <si>
    <t xml:space="preserve">P41</t>
  </si>
  <si>
    <t xml:space="preserve">Fonds vert 2027</t>
  </si>
  <si>
    <t xml:space="preserve">M€</t>
  </si>
  <si>
    <t xml:space="preserve">+163 M€ vs 2026</t>
  </si>
  <si>
    <t xml:space="preserve">SPAFTE 2026, PLF 2027</t>
  </si>
  <si>
    <t xml:space="preserve">P42</t>
  </si>
  <si>
    <t xml:space="preserve">Coût de l'adaptation pour la France jusqu'en 2030</t>
  </si>
  <si>
    <t xml:space="preserve">Md€/an</t>
  </si>
  <si>
    <t xml:space="preserve">Cité d'après l'édition 2025</t>
  </si>
  <si>
    <t xml:space="preserve">1 (richesses)</t>
  </si>
  <si>
    <t xml:space="preserve">SPAFTE 2026, chap. 4-1</t>
  </si>
  <si>
    <t xml:space="preserve">P43</t>
  </si>
  <si>
    <t xml:space="preserve">Dégradation du déficit public en 2050 sans adaptation</t>
  </si>
  <si>
    <t xml:space="preserve">point de PIB</t>
  </si>
  <si>
    <t xml:space="preserve">Éditorial du ministre de l'Économie</t>
  </si>
  <si>
    <t xml:space="preserve">P44</t>
  </si>
  <si>
    <t xml:space="preserve">Prêts verts publics : coût pour l'État</t>
  </si>
  <si>
    <t xml:space="preserve">2014-2024 (net ≈ 305 M€)</t>
  </si>
  <si>
    <t xml:space="preserve">Cour des comptes, avril 2026</t>
  </si>
  <si>
    <t xml:space="preserve">P45</t>
  </si>
  <si>
    <t xml:space="preserve">Prêts verts publics : encours cumulé</t>
  </si>
  <si>
    <t xml:space="preserve">2014-2024</t>
  </si>
  <si>
    <t xml:space="preserve">P46</t>
  </si>
  <si>
    <t xml:space="preserve">Coût public par euro de prêt vert</t>
  </si>
  <si>
    <t xml:space="preserve">€ / € prêté</t>
  </si>
  <si>
    <t xml:space="preserve">Calcul : P44 / P45</t>
  </si>
  <si>
    <t xml:space="preserve">P47</t>
  </si>
  <si>
    <t xml:space="preserve">Taux d'aubaine estimé des prêts verts publics</t>
  </si>
  <si>
    <t xml:space="preserve">« Près de la moitié » auraient investi sans prêt</t>
  </si>
  <si>
    <t xml:space="preserve">2 (aubaine)</t>
  </si>
  <si>
    <t xml:space="preserve">P48</t>
  </si>
  <si>
    <t xml:space="preserve">Surestimation minimale des économies CEE (2022-2023)</t>
  </si>
  <si>
    <t xml:space="preserve">Économies théoriques vs réelles</t>
  </si>
  <si>
    <t xml:space="preserve">Cour des comptes, sept. 2024</t>
  </si>
  <si>
    <t xml:space="preserve">Méthode ART enrichie : étapes 0 à 4</t>
  </si>
  <si>
    <t xml:space="preserve">L'étape 0 (bien poser le problème) est propre à ART et conservée. Les étapes 1 à 3 reprennent la doctrine de l'État (SPAFTE 2026, encadré 7) et ses paramètres chiffrés. L'étape 4 et les compléments marqués « ART » prolongent la doctrine.</t>
  </si>
  <si>
    <t xml:space="preserve">Étape</t>
  </si>
  <si>
    <t xml:space="preserve">Sous-étape</t>
  </si>
  <si>
    <t xml:space="preserve">Question posée</t>
  </si>
  <si>
    <t xml:space="preserve">Règle ou critère</t>
  </si>
  <si>
    <t xml:space="preserve">Paramètres de référence</t>
  </si>
  <si>
    <t xml:space="preserve">Statut</t>
  </si>
  <si>
    <t xml:space="preserve">0. Poser le problème</t>
  </si>
  <si>
    <t xml:space="preserve">0.1 Décrire la situation</t>
  </si>
  <si>
    <t xml:space="preserve">Qui est concerné, où, pourquoi maintenant, avec quel budget et quel délai, qu'a-t-on déjà essayé ?</t>
  </si>
  <si>
    <t xml:space="preserve">5 à 7 questions guidées ; aucune solution proposée à ce stade.</t>
  </si>
  <si>
    <t xml:space="preserve">ART</t>
  </si>
  <si>
    <t xml:space="preserve">Conservé (spécifique ART)</t>
  </si>
  <si>
    <t xml:space="preserve">0.2 Reformuler en « bon sous-problème »</t>
  </si>
  <si>
    <t xml:space="preserve">Quelle formulation rend le problème traitable et mesurable ?</t>
  </si>
  <si>
    <t xml:space="preserve">2 ou 3 reformulations ; l'utilisateur choisit.</t>
  </si>
  <si>
    <t xml:space="preserve">0.3 Qualifier la nature du problème</t>
  </si>
  <si>
    <t xml:space="preserve">Simple, compliqué, complexe ou vicieux ?</t>
  </si>
  <si>
    <t xml:space="preserve">La nature oriente vers des familles de modes (ex. vicieux → expérimentation, communs).</t>
  </si>
  <si>
    <t xml:space="preserve">Colonne « Complexité du problème » du référentiel</t>
  </si>
  <si>
    <t xml:space="preserve">0.4 Interroger le levier</t>
  </si>
  <si>
    <t xml:space="preserve">Le levier envisagé est-il la meilleure réponse au problème ? Peut-on réduire le besoin, changer d'usage, mutualiser ?</t>
  </si>
  <si>
    <t xml:space="preserve">Comparer au moins une alternative de sobriété ou d'usage à toute substitution d'actif.</t>
  </si>
  <si>
    <t xml:space="preserve">P05-P07 (baisse des investissements carbonés), P37-P40 (répartition des crédits transport)</t>
  </si>
  <si>
    <t xml:space="preserve">1. Contribution</t>
  </si>
  <si>
    <t xml:space="preserve">1.1 Relier à un objectif physique</t>
  </si>
  <si>
    <t xml:space="preserve">Quel objectif de la SNBC 3, de la PPE 3 ou du référentiel SGPE la proposition sert-elle ?</t>
  </si>
  <si>
    <t xml:space="preserve">Une proposition sans indicateur physique n'est pas recevable (doctrine, volet 1).</t>
  </si>
  <si>
    <t xml:space="preserve">P01-P04, P24</t>
  </si>
  <si>
    <t xml:space="preserve">SPAFTE</t>
  </si>
  <si>
    <t xml:space="preserve">Ajouté (doctrine État)</t>
  </si>
  <si>
    <t xml:space="preserve">1.2 Bilan de richesses</t>
  </si>
  <si>
    <t xml:space="preserve">Quelles richesses (mobile, mesurable, ordonnable, énonçable, potentielle) sont créées, préservées ou détruites ?</t>
  </si>
  <si>
    <t xml:space="preserve">Ne pas réduire l'évaluation au CO2 et aux euros.</t>
  </si>
  <si>
    <t xml:space="preserve">P42-P43 (coûts de l'inaction)</t>
  </si>
  <si>
    <t xml:space="preserve">Ajouté (ART)</t>
  </si>
  <si>
    <t xml:space="preserve">2. Freins et instruments</t>
  </si>
  <si>
    <t xml:space="preserve">2.1 Freins non financiers</t>
  </si>
  <si>
    <t xml:space="preserve">Information, infrastructure, contrainte technique ? Coordination, compétences, offre absente, règles inadaptées, représentations ?</t>
  </si>
  <si>
    <t xml:space="preserve">Les lever en premier (doctrine) ; les cinq derniers freins sont des ajouts ART.</t>
  </si>
  <si>
    <t xml:space="preserve">SPAFTE + ART</t>
  </si>
  <si>
    <t xml:space="preserve">Ajouté (doctrine État, complété ART)</t>
  </si>
  <si>
    <t xml:space="preserve">2.2 Rentabilité de l'investissement</t>
  </si>
  <si>
    <t xml:space="preserve">Le surcoût initial est-il compensé sur la durée de vie (coût total de possession) ?</t>
  </si>
  <si>
    <t xml:space="preserve">Rentable = coûts d'usage sur la durée de vie ≥ surcoût initial (définition CGDD).</t>
  </si>
  <si>
    <t xml:space="preserve">P13, P16-P17, P31-P33</t>
  </si>
  <si>
    <t xml:space="preserve">2.3 Capacité de financement</t>
  </si>
  <si>
    <t xml:space="preserve">Ménages : dixième de niveau de vie et patrimoine ? Entreprises : peuvent-elles répercuter le surcoût sans fuite de carbone ?</t>
  </si>
  <si>
    <t xml:space="preserve">Capacité suffisante → norme ou fiscalité ; insuffisante → prêt, garantie, avance ; très insuffisante → subvention ou CEE ciblés.</t>
  </si>
  <si>
    <t xml:space="preserve">P14-P15, P18-P23</t>
  </si>
  <si>
    <t xml:space="preserve">2.4 Choix de l'instrument</t>
  </si>
  <si>
    <t xml:space="preserve">Quel mode du référentiel (ADEME ou État) correspond au frein et à la capacité ?</t>
  </si>
  <si>
    <t xml:space="preserve">Ordre : freins non financiers → norme / fiscalité → prêt / garantie → subvention. Si aucun mode ne convient → conception sur mesure (niveau expert).</t>
  </si>
  <si>
    <t xml:space="preserve">Onglet « Modes d'intervention » (colonnes I-J)</t>
  </si>
  <si>
    <t xml:space="preserve">2.5 Calibrage et effet d'aubaine</t>
  </si>
  <si>
    <t xml:space="preserve">Les bénéficiaires prioritaires sont-ils ceux au meilleur rapport effet / coût ? L'aide est-elle additionnelle ?</t>
  </si>
  <si>
    <t xml:space="preserve">Cibler ; plafonner ; vérifier l'additionnalité ; consolider les cofinancements (y compris européens).</t>
  </si>
  <si>
    <t xml:space="preserve">P25-P30, P34, P44-P48</t>
  </si>
  <si>
    <t xml:space="preserve">SPAFTE + Cour</t>
  </si>
  <si>
    <t xml:space="preserve">2.6 Partage des risques</t>
  </si>
  <si>
    <t xml:space="preserve">Quels risques le porteur ne peut-il pas maîtriser ?</t>
  </si>
  <si>
    <t xml:space="preserve">L'État porte les risques non maîtrisables (ex. prix à 20 ans) ; réévaluer avec la maturité de la filière.</t>
  </si>
  <si>
    <t xml:space="preserve">3. Cohérence</t>
  </si>
  <si>
    <t xml:space="preserve">3.1 Cohérence interne</t>
  </si>
  <si>
    <t xml:space="preserve">Les instruments de l'État, des collectivités et de l'UE s'articulent-ils ?</t>
  </si>
  <si>
    <t xml:space="preserve">Pas de double financement non consolidé ; répartition claire des compétences.</t>
  </si>
  <si>
    <t xml:space="preserve">P10-P12, P41</t>
  </si>
  <si>
    <t xml:space="preserve">3.2 Cohérence externe</t>
  </si>
  <si>
    <t xml:space="preserve">Effets sur la souveraineté industrielle et alimentaire, la compétitivité, la redistribution ?</t>
  </si>
  <si>
    <t xml:space="preserve">Vérifier l'adéquation offre / demande (ex. aide à l'achat sans offre nationale).</t>
  </si>
  <si>
    <t xml:space="preserve">Évaluations E13</t>
  </si>
  <si>
    <t xml:space="preserve">3.3 Risque d'éviction</t>
  </si>
  <si>
    <t xml:space="preserve">La proposition monétise-t-elle une richesse qui reposait sur l'engagement ou la confiance ?</t>
  </si>
  <si>
    <t xml:space="preserve">Préférer la reconnaissance à la rémunération pour les richesses énonçables.</t>
  </si>
  <si>
    <t xml:space="preserve">4. Évaluer et apprendre</t>
  </si>
  <si>
    <t xml:space="preserve">4.1 Indicateur et date de revue</t>
  </si>
  <si>
    <t xml:space="preserve">Quel indicateur de résultat, mesuré quand et par qui ?</t>
  </si>
  <si>
    <t xml:space="preserve">Toute recommandation porte un indicateur physique et une date de revue.</t>
  </si>
  <si>
    <t xml:space="preserve">Robustesse de la preuve (onglet Évaluations)</t>
  </si>
  <si>
    <t xml:space="preserve">ART + Cour</t>
  </si>
  <si>
    <t xml:space="preserve">4.2 Retour au corpus</t>
  </si>
  <si>
    <t xml:space="preserve">Les résultats réels, réussites et échecs, sont-ils versés au corpus ?</t>
  </si>
  <si>
    <t xml:space="preserve">Fiche d'évaluation au format des grilles Standard et Meadows.</t>
  </si>
  <si>
    <t xml:space="preserve">Sources</t>
  </si>
  <si>
    <t xml:space="preserve">Documents utilisés pour cet enrichissement (consultés le 14/10/2026).</t>
  </si>
  <si>
    <t xml:space="preserve">Document</t>
  </si>
  <si>
    <t xml:space="preserve">Lien ou référence</t>
  </si>
  <si>
    <t xml:space="preserve">SPAFTE 2026 — Stratégie pluriannuelle des financements de la transition écologique (document fourni)</t>
  </si>
  <si>
    <t xml:space="preserve">Chap. 3 (encadrés 6 à 9, figure 16), chap. 4 (encadré 11), annexe II</t>
  </si>
  <si>
    <t xml:space="preserve">Cour des comptes, La transition écologique (RPTE), octobre 2026</t>
  </si>
  <si>
    <t xml:space="preserve">Chap. II à IV</t>
  </si>
  <si>
    <t xml:space="preserve">I4CE, Bonus-malus automobile : la nécessaire évaluation, sept. 2021</t>
  </si>
  <si>
    <t xml:space="preserve">I4CE, Le Label bas-carbone : quel bilan après 6 ans d'existence, juin 2025</t>
  </si>
  <si>
    <t xml:space="preserve">T&amp;E, RAC, UFC-Que Choisir, Secours catholique, Recommandations leasing social, oct. 2024</t>
  </si>
  <si>
    <t xml:space="preserve">Cour des comptes, Certificats d'économies d'énergie, sept. 2024 (synthèse)</t>
  </si>
  <si>
    <t xml:space="preserve">https://www.hellowatt.fr/blog/cour-comptes-cee/</t>
  </si>
  <si>
    <t xml:space="preserve">Cour des comptes, Prêts verts des banques publiques, avril 2026 (synthèse)</t>
  </si>
  <si>
    <t xml:space="preserve">Cour des comptes, Soutien aux énergies renouvelables, mars 2026 (dépêche)</t>
  </si>
  <si>
    <t xml:space="preserve">Clean Energy Wire, Climate protection contracts, juillet 2024</t>
  </si>
  <si>
    <t xml:space="preserve">Sénat, Les OAT vertes, rapport n° 773, juillet 2022</t>
  </si>
  <si>
    <t xml:space="preserve">Insee, Paiements pour services environnementaux, février 2024</t>
  </si>
  <si>
    <t xml:space="preserve">Banque des Territoires, Éco-organismes selon la Cour des comptes, février 2020</t>
  </si>
  <si>
    <t xml:space="preserve">Sénat, question écrite sur le Fonds vert, juin 2025</t>
  </si>
  <si>
    <t xml:space="preserve">Les énergies renouvelables, Éco-PTZ 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</si>
</sst>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#,##0"/>
    <numFmt numFmtId="168" formatCode="0.0\×"/>
    <numFmt numFmtId="169" formatCode="0.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9"/>
      <color rgb="FF712B13"/>
      <name val="Arial"/>
      <family val="0"/>
      <charset val="1"/>
    </font>
    <font>
      <b val="true"/>
      <sz val="9"/>
      <color rgb="FF72243E"/>
      <name val="Arial"/>
      <family val="0"/>
      <charset val="1"/>
    </font>
    <font>
      <b val="true"/>
      <sz val="9"/>
      <color rgb="FF27500A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9"/>
      <color rgb="FF5F5E5A"/>
      <name val="Arial"/>
      <family val="0"/>
      <charset val="1"/>
    </font>
    <font>
      <b val="true"/>
      <sz val="9"/>
      <color rgb="FF1F3A52"/>
      <name val="Arial"/>
      <family val="0"/>
      <charset val="1"/>
    </font>
    <font>
      <sz val="9"/>
      <color rgb="FF1F3A52"/>
      <name val="Arial"/>
      <family val="0"/>
      <charset val="1"/>
    </font>
    <font>
      <i val="true"/>
      <sz val="8"/>
      <color rgb="FF5F5E5A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1F3A52"/>
      </patternFill>
    </fill>
    <fill>
      <patternFill patternType="solid">
        <fgColor rgb="FF185FA5"/>
        <bgColor rgb="FF0563C1"/>
      </patternFill>
    </fill>
    <fill>
      <patternFill patternType="solid">
        <fgColor rgb="FFE6F1FB"/>
        <bgColor rgb="FFEDF2F7"/>
      </patternFill>
    </fill>
    <fill>
      <patternFill patternType="solid">
        <fgColor rgb="FF639922"/>
        <bgColor rgb="FF888780"/>
      </patternFill>
    </fill>
    <fill>
      <patternFill patternType="solid">
        <fgColor rgb="FF1D9E75"/>
        <bgColor rgb="FF0F6E56"/>
      </patternFill>
    </fill>
    <fill>
      <patternFill patternType="solid">
        <fgColor rgb="FF378ADD"/>
        <bgColor rgb="FF1D9E75"/>
      </patternFill>
    </fill>
    <fill>
      <patternFill patternType="solid">
        <fgColor rgb="FFE1F5EE"/>
        <bgColor rgb="FFE6F1FB"/>
      </patternFill>
    </fill>
    <fill>
      <patternFill patternType="solid">
        <fgColor rgb="FF534AB7"/>
        <bgColor rgb="FF3C3489"/>
      </patternFill>
    </fill>
    <fill>
      <patternFill patternType="solid">
        <fgColor rgb="FFEEEDFE"/>
        <bgColor rgb="FFEDF2F7"/>
      </patternFill>
    </fill>
    <fill>
      <patternFill patternType="solid">
        <fgColor rgb="FFBA7517"/>
        <bgColor rgb="FFD85A30"/>
      </patternFill>
    </fill>
    <fill>
      <patternFill patternType="solid">
        <fgColor rgb="FFD85A30"/>
        <bgColor rgb="FFBA7517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BEAF0"/>
      </patternFill>
    </fill>
    <fill>
      <patternFill patternType="solid">
        <fgColor rgb="FF993556"/>
        <bgColor rgb="FF72243E"/>
      </patternFill>
    </fill>
    <fill>
      <patternFill patternType="solid">
        <fgColor rgb="FFFBEAF0"/>
        <bgColor rgb="FFFAECE7"/>
      </patternFill>
    </fill>
    <fill>
      <patternFill patternType="solid">
        <fgColor rgb="FF3B6D11"/>
        <bgColor rgb="FF27500A"/>
      </patternFill>
    </fill>
    <fill>
      <patternFill patternType="solid">
        <fgColor rgb="FFEAF3DE"/>
        <bgColor rgb="FFF1EFE8"/>
      </patternFill>
    </fill>
    <fill>
      <patternFill patternType="solid">
        <fgColor rgb="FF0F6E56"/>
        <bgColor rgb="FF085041"/>
      </patternFill>
    </fill>
    <fill>
      <patternFill patternType="solid">
        <fgColor rgb="FF5F5E5A"/>
        <bgColor rgb="FF555555"/>
      </patternFill>
    </fill>
    <fill>
      <patternFill patternType="solid">
        <fgColor rgb="FFF1EFE8"/>
        <bgColor rgb="FFFAECE7"/>
      </patternFill>
    </fill>
    <fill>
      <patternFill patternType="solid">
        <fgColor rgb="FF888780"/>
        <bgColor rgb="FF888888"/>
      </patternFill>
    </fill>
    <fill>
      <patternFill patternType="solid">
        <fgColor rgb="FF2E4A62"/>
        <bgColor rgb="FF1F3A52"/>
      </patternFill>
    </fill>
    <fill>
      <patternFill patternType="solid">
        <fgColor rgb="FFEDF2F7"/>
        <bgColor rgb="FFE6F1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2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2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5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0F6E56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ill>
        <patternFill patternType="solid">
          <fgColor rgb="FF1D9E75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3B6D11"/>
          <bgColor rgb="FF000000"/>
        </patternFill>
      </fill>
    </dxf>
    <dxf>
      <fill>
        <patternFill patternType="solid">
          <fgColor rgb="FF534AB7"/>
          <bgColor rgb="FF000000"/>
        </patternFill>
      </fill>
    </dxf>
    <dxf>
      <fill>
        <patternFill patternType="solid">
          <fgColor rgb="FF5F5E5A"/>
          <bgColor rgb="FF000000"/>
        </patternFill>
      </fill>
    </dxf>
    <dxf>
      <fill>
        <patternFill patternType="solid">
          <fgColor rgb="FF888780"/>
          <bgColor rgb="FF000000"/>
        </patternFill>
      </fill>
    </dxf>
    <dxf>
      <fill>
        <patternFill patternType="solid">
          <fgColor rgb="FF993556"/>
          <bgColor rgb="FF000000"/>
        </patternFill>
      </fill>
    </dxf>
    <dxf>
      <fill>
        <patternFill patternType="solid">
          <fgColor rgb="FFBA7517"/>
          <bgColor rgb="FF000000"/>
        </patternFill>
      </fill>
    </dxf>
    <dxf>
      <fill>
        <patternFill patternType="solid">
          <fgColor rgb="FFD85A30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ECE7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BEAF0"/>
          <bgColor rgb="FF000000"/>
        </patternFill>
      </fill>
    </dxf>
    <dxf>
      <fill>
        <patternFill patternType="solid">
          <fgColor rgb="FF085041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444441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712B13"/>
          <bgColor rgb="FF000000"/>
        </patternFill>
      </fill>
    </dxf>
    <dxf>
      <fill>
        <patternFill patternType="solid">
          <fgColor rgb="FF7224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378ADD"/>
          <bgColor rgb="FF000000"/>
        </patternFill>
      </fill>
    </dxf>
    <dxf>
      <fill>
        <patternFill patternType="solid">
          <fgColor rgb="FF639922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33806"/>
      <rgbColor rgb="FF3B6D11"/>
      <rgbColor rgb="FF1F3864"/>
      <rgbColor rgb="FF639922"/>
      <rgbColor rgb="FF534AB7"/>
      <rgbColor rgb="FF0F6E56"/>
      <rgbColor rgb="FFBBBBBB"/>
      <rgbColor rgb="FF888780"/>
      <rgbColor rgb="FF9999FF"/>
      <rgbColor rgb="FF993556"/>
      <rgbColor rgb="FFFAEEDA"/>
      <rgbColor rgb="FFE1F5EE"/>
      <rgbColor rgb="FF444444"/>
      <rgbColor rgb="FFFF8080"/>
      <rgbColor rgb="FF0563C1"/>
      <rgbColor rgb="FFC9C9C9"/>
      <rgbColor rgb="FF2E4A62"/>
      <rgbColor rgb="FFFF00FF"/>
      <rgbColor rgb="FFFFFF00"/>
      <rgbColor rgb="FF00FFFF"/>
      <rgbColor rgb="FF444441"/>
      <rgbColor rgb="FF555555"/>
      <rgbColor rgb="FF185FA5"/>
      <rgbColor rgb="FF0000FF"/>
      <rgbColor rgb="FF00CCFF"/>
      <rgbColor rgb="FFE6F1FB"/>
      <rgbColor rgb="FFEAF3DE"/>
      <rgbColor rgb="FFFAECE7"/>
      <rgbColor rgb="FFEEEDFE"/>
      <rgbColor rgb="FFF1EFE8"/>
      <rgbColor rgb="FFEDF2F7"/>
      <rgbColor rgb="FFFBEAF0"/>
      <rgbColor rgb="FF378ADD"/>
      <rgbColor rgb="FF33CCCC"/>
      <rgbColor rgb="FF99CC00"/>
      <rgbColor rgb="FFFFCC00"/>
      <rgbColor rgb="FFBA7517"/>
      <rgbColor rgb="FFD85A30"/>
      <rgbColor rgb="FF5F5E5A"/>
      <rgbColor rgb="FF888888"/>
      <rgbColor rgb="FF0C447C"/>
      <rgbColor rgb="FF1D9E75"/>
      <rgbColor rgb="FF085041"/>
      <rgbColor rgb="FF27500A"/>
      <rgbColor rgb="FF712B13"/>
      <rgbColor rgb="FF72243E"/>
      <rgbColor rgb="FF3C3489"/>
      <rgbColor rgb="FF1F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4ce.org/wp-content/uploads/I4CE_BonusMalusAutomobiles-2.pdf" TargetMode="External"/><Relationship Id="rId2" Type="http://schemas.openxmlformats.org/officeDocument/2006/relationships/hyperlink" Target="https://www.hellowatt.fr/blog/cour-comptes-cee/%20(synth&#232;se%20du%20rapport%20Cour%20des%20comptes)" TargetMode="External"/><Relationship Id="rId3" Type="http://schemas.openxmlformats.org/officeDocument/2006/relationships/hyperlink" Target="https://www.les-energies-renouvelables.eu/article/actualites/reglementations/126-030-proprietaires-ont-decroche-un-eco-pret-a-taux-zero-en-2025-un-record-porte-par-trois-banques-seulement-1378/" TargetMode="External"/><Relationship Id="rId4" Type="http://schemas.openxmlformats.org/officeDocument/2006/relationships/hyperlink" Target="https://www.linfodurable.fr/finance-durable/prets-verts-publics-un-bilan-satisfaisant-selon-la-cour-des-comptes-55834" TargetMode="External"/><Relationship Id="rId5" Type="http://schemas.openxmlformats.org/officeDocument/2006/relationships/hyperlink" Target="https://www.connaissancedesenergies.org/afp/la-cour-des-comptes-appelle-mieux-maitriser-les-dispositifs-de-soutien-aux-energies-renouvelables-260317" TargetMode="External"/><Relationship Id="rId6" Type="http://schemas.openxmlformats.org/officeDocument/2006/relationships/hyperlink" Target="https://cleanenergywire.org/news/industry-shows-big-interest-german-governments-climate-protection-contracts" TargetMode="External"/><Relationship Id="rId7" Type="http://schemas.openxmlformats.org/officeDocument/2006/relationships/hyperlink" Target="https://www.senat.fr/rap/r21-773/r21-7731.html" TargetMode="External"/><Relationship Id="rId8" Type="http://schemas.openxmlformats.org/officeDocument/2006/relationships/hyperlink" Target="https://uploads.transportenvironment.org/production/files/2024_10_Recommandations-leasing-social.pdf" TargetMode="External"/><Relationship Id="rId9" Type="http://schemas.openxmlformats.org/officeDocument/2006/relationships/hyperlink" Target="https://www.i4ce.org/wp-content/uploads/2025/06/Le-Label-bas-carbone-quel-bilan-apres-6-ans-dexistence_V2.pdf" TargetMode="External"/><Relationship Id="rId10" Type="http://schemas.openxmlformats.org/officeDocument/2006/relationships/hyperlink" Target="https://www.insee.fr/fr/statistiques/7728889" TargetMode="External"/><Relationship Id="rId11" Type="http://schemas.openxmlformats.org/officeDocument/2006/relationships/hyperlink" Target="https://www.banquedesterritoires.fr/eco-organismes-des-resultats-trop-inegaux-et-une-regulation-renforcer-selon-la-cour-des-comptes" TargetMode="External"/><Relationship Id="rId12" Type="http://schemas.openxmlformats.org/officeDocument/2006/relationships/hyperlink" Target="https://www.senat.fr/questions/base/2025/qSEQ250605009.html" TargetMode="External"/><Relationship Id="rId13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i4ce.org/wp-content/uploads/I4CE_BonusMalusAutomobiles-2.pdf" TargetMode="External"/><Relationship Id="rId2" Type="http://schemas.openxmlformats.org/officeDocument/2006/relationships/hyperlink" Target="https://www.i4ce.org/wp-content/uploads/2025/06/Le-Label-bas-carbone-quel-bilan-apres-6-ans-dexistence_V2.pdf" TargetMode="External"/><Relationship Id="rId3" Type="http://schemas.openxmlformats.org/officeDocument/2006/relationships/hyperlink" Target="https://uploads.transportenvironment.org/production/files/2024_10_Recommandations-leasing-social.pdf" TargetMode="External"/><Relationship Id="rId4" Type="http://schemas.openxmlformats.org/officeDocument/2006/relationships/hyperlink" Target="https://www.hellowatt.fr/blog/cour-comptes-cee/" TargetMode="External"/><Relationship Id="rId5" Type="http://schemas.openxmlformats.org/officeDocument/2006/relationships/hyperlink" Target="https://www.linfodurable.fr/finance-durable/prets-verts-publics-un-bilan-satisfaisant-selon-la-cour-des-comptes-55834" TargetMode="External"/><Relationship Id="rId6" Type="http://schemas.openxmlformats.org/officeDocument/2006/relationships/hyperlink" Target="https://www.connaissancedesenergies.org/afp/la-cour-des-comptes-appelle-mieux-maitriser-les-dispositifs-de-soutien-aux-energies-renouvelables-260317" TargetMode="External"/><Relationship Id="rId7" Type="http://schemas.openxmlformats.org/officeDocument/2006/relationships/hyperlink" Target="https://cleanenergywire.org/news/industry-shows-big-interest-german-governments-climate-protection-contracts" TargetMode="External"/><Relationship Id="rId8" Type="http://schemas.openxmlformats.org/officeDocument/2006/relationships/hyperlink" Target="https://www.senat.fr/rap/r21-773/r21-7731.html" TargetMode="External"/><Relationship Id="rId9" Type="http://schemas.openxmlformats.org/officeDocument/2006/relationships/hyperlink" Target="https://www.insee.fr/fr/statistiques/7728889" TargetMode="External"/><Relationship Id="rId10" Type="http://schemas.openxmlformats.org/officeDocument/2006/relationships/hyperlink" Target="https://www.banquedesterritoires.fr/eco-organismes-des-resultats-trop-inegaux-et-une-regulation-renforcer-selon-la-cour-des-comptes" TargetMode="External"/><Relationship Id="rId11" Type="http://schemas.openxmlformats.org/officeDocument/2006/relationships/hyperlink" Target="https://www.senat.fr/questions/base/2025/qSEQ250605009.html" TargetMode="External"/><Relationship Id="rId12" Type="http://schemas.openxmlformats.org/officeDocument/2006/relationships/hyperlink" Target="https://www.les-energies-renouvelables.eu/article/actualites/reglementations/126-030-proprietaires-ont-decroche-un-eco-pret-a-taux-zero-en-2025-un-record-porte-par-trois-banques-seulement-1378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8" hidden="false" customHeight="true" outlineLevel="0" collapsed="false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6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8" t="s">
        <v>16</v>
      </c>
      <c r="F4" s="9" t="s">
        <v>17</v>
      </c>
      <c r="G4" s="10" t="s">
        <v>18</v>
      </c>
      <c r="H4" s="6" t="s">
        <v>19</v>
      </c>
      <c r="I4" s="6" t="s">
        <v>20</v>
      </c>
      <c r="J4" s="6" t="s">
        <v>21</v>
      </c>
    </row>
    <row r="5" customFormat="false" ht="36" hidden="false" customHeight="true" outlineLevel="0" collapsed="false">
      <c r="A5" s="4" t="s">
        <v>12</v>
      </c>
      <c r="B5" s="11" t="s">
        <v>22</v>
      </c>
      <c r="C5" s="12" t="s">
        <v>23</v>
      </c>
      <c r="D5" s="13" t="s">
        <v>24</v>
      </c>
      <c r="E5" s="14" t="s">
        <v>25</v>
      </c>
      <c r="F5" s="9" t="s">
        <v>17</v>
      </c>
      <c r="G5" s="15" t="s">
        <v>18</v>
      </c>
      <c r="H5" s="12" t="s">
        <v>26</v>
      </c>
      <c r="I5" s="12" t="s">
        <v>20</v>
      </c>
      <c r="J5" s="12" t="s">
        <v>21</v>
      </c>
    </row>
    <row r="6" customFormat="false" ht="36" hidden="false" customHeight="true" outlineLevel="0" collapsed="false">
      <c r="A6" s="4" t="s">
        <v>12</v>
      </c>
      <c r="B6" s="5" t="s">
        <v>27</v>
      </c>
      <c r="C6" s="6" t="s">
        <v>28</v>
      </c>
      <c r="D6" s="7" t="s">
        <v>29</v>
      </c>
      <c r="E6" s="8" t="s">
        <v>16</v>
      </c>
      <c r="F6" s="16" t="s">
        <v>30</v>
      </c>
      <c r="G6" s="10" t="s">
        <v>18</v>
      </c>
      <c r="H6" s="6" t="s">
        <v>31</v>
      </c>
      <c r="I6" s="6" t="s">
        <v>20</v>
      </c>
      <c r="J6" s="6" t="s">
        <v>21</v>
      </c>
    </row>
    <row r="7" customFormat="false" ht="36" hidden="false" customHeight="true" outlineLevel="0" collapsed="false">
      <c r="A7" s="4" t="s">
        <v>12</v>
      </c>
      <c r="B7" s="11" t="s">
        <v>32</v>
      </c>
      <c r="C7" s="12" t="s">
        <v>33</v>
      </c>
      <c r="D7" s="13" t="s">
        <v>34</v>
      </c>
      <c r="E7" s="14" t="s">
        <v>16</v>
      </c>
      <c r="F7" s="16" t="s">
        <v>30</v>
      </c>
      <c r="G7" s="15" t="s">
        <v>18</v>
      </c>
      <c r="H7" s="12" t="s">
        <v>35</v>
      </c>
      <c r="I7" s="12" t="s">
        <v>20</v>
      </c>
      <c r="J7" s="12" t="s">
        <v>21</v>
      </c>
    </row>
    <row r="8" customFormat="false" ht="36" hidden="false" customHeight="true" outlineLevel="0" collapsed="false">
      <c r="A8" s="4" t="s">
        <v>12</v>
      </c>
      <c r="B8" s="5" t="s">
        <v>36</v>
      </c>
      <c r="C8" s="6" t="s">
        <v>37</v>
      </c>
      <c r="D8" s="7" t="s">
        <v>38</v>
      </c>
      <c r="E8" s="8" t="s">
        <v>39</v>
      </c>
      <c r="F8" s="17" t="s">
        <v>40</v>
      </c>
      <c r="G8" s="10" t="s">
        <v>18</v>
      </c>
      <c r="H8" s="6" t="s">
        <v>41</v>
      </c>
      <c r="I8" s="6" t="s">
        <v>20</v>
      </c>
      <c r="J8" s="6" t="s">
        <v>42</v>
      </c>
    </row>
    <row r="9" customFormat="false" ht="18" hidden="false" customHeight="true" outlineLevel="0" collapsed="false">
      <c r="A9" s="18" t="s">
        <v>43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36" hidden="false" customHeight="true" outlineLevel="0" collapsed="false">
      <c r="A10" s="19" t="s">
        <v>44</v>
      </c>
      <c r="B10" s="20" t="s">
        <v>45</v>
      </c>
      <c r="C10" s="21" t="s">
        <v>46</v>
      </c>
      <c r="D10" s="22" t="s">
        <v>47</v>
      </c>
      <c r="E10" s="23" t="s">
        <v>39</v>
      </c>
      <c r="F10" s="17" t="s">
        <v>40</v>
      </c>
      <c r="G10" s="24" t="s">
        <v>48</v>
      </c>
      <c r="H10" s="21" t="s">
        <v>49</v>
      </c>
      <c r="I10" s="21" t="s">
        <v>20</v>
      </c>
      <c r="J10" s="21" t="s">
        <v>21</v>
      </c>
    </row>
    <row r="11" customFormat="false" ht="18" hidden="false" customHeight="true" outlineLevel="0" collapsed="false">
      <c r="A11" s="25" t="s">
        <v>50</v>
      </c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36" hidden="false" customHeight="true" outlineLevel="0" collapsed="false">
      <c r="A12" s="26" t="s">
        <v>51</v>
      </c>
      <c r="B12" s="27" t="s">
        <v>52</v>
      </c>
      <c r="C12" s="28" t="s">
        <v>33</v>
      </c>
      <c r="D12" s="29" t="s">
        <v>53</v>
      </c>
      <c r="E12" s="30" t="s">
        <v>54</v>
      </c>
      <c r="F12" s="31" t="s">
        <v>55</v>
      </c>
      <c r="G12" s="32" t="s">
        <v>56</v>
      </c>
      <c r="H12" s="28" t="s">
        <v>57</v>
      </c>
      <c r="I12" s="28" t="s">
        <v>20</v>
      </c>
      <c r="J12" s="28" t="s">
        <v>21</v>
      </c>
    </row>
    <row r="13" customFormat="false" ht="36" hidden="false" customHeight="true" outlineLevel="0" collapsed="false">
      <c r="A13" s="26" t="s">
        <v>51</v>
      </c>
      <c r="B13" s="11" t="s">
        <v>58</v>
      </c>
      <c r="C13" s="12" t="s">
        <v>59</v>
      </c>
      <c r="D13" s="13" t="s">
        <v>60</v>
      </c>
      <c r="E13" s="14" t="s">
        <v>61</v>
      </c>
      <c r="F13" s="33" t="s">
        <v>62</v>
      </c>
      <c r="G13" s="15" t="s">
        <v>63</v>
      </c>
      <c r="H13" s="12" t="s">
        <v>64</v>
      </c>
      <c r="I13" s="12" t="s">
        <v>20</v>
      </c>
      <c r="J13" s="12" t="s">
        <v>21</v>
      </c>
    </row>
    <row r="14" customFormat="false" ht="36" hidden="false" customHeight="true" outlineLevel="0" collapsed="false">
      <c r="A14" s="26" t="s">
        <v>51</v>
      </c>
      <c r="B14" s="27" t="s">
        <v>65</v>
      </c>
      <c r="C14" s="28" t="s">
        <v>66</v>
      </c>
      <c r="D14" s="29" t="s">
        <v>67</v>
      </c>
      <c r="E14" s="30" t="s">
        <v>68</v>
      </c>
      <c r="F14" s="31" t="s">
        <v>55</v>
      </c>
      <c r="G14" s="32" t="s">
        <v>48</v>
      </c>
      <c r="H14" s="28" t="s">
        <v>69</v>
      </c>
      <c r="I14" s="28" t="s">
        <v>20</v>
      </c>
      <c r="J14" s="28" t="s">
        <v>21</v>
      </c>
    </row>
    <row r="15" customFormat="false" ht="18" hidden="false" customHeight="true" outlineLevel="0" collapsed="false">
      <c r="A15" s="34" t="s">
        <v>70</v>
      </c>
      <c r="B15" s="34"/>
      <c r="C15" s="34"/>
      <c r="D15" s="34"/>
      <c r="E15" s="34"/>
      <c r="F15" s="34"/>
      <c r="G15" s="34"/>
      <c r="H15" s="34"/>
      <c r="I15" s="34"/>
      <c r="J15" s="34"/>
    </row>
    <row r="16" customFormat="false" ht="36" hidden="false" customHeight="true" outlineLevel="0" collapsed="false">
      <c r="A16" s="35" t="s">
        <v>71</v>
      </c>
      <c r="B16" s="36" t="s">
        <v>72</v>
      </c>
      <c r="C16" s="37" t="s">
        <v>73</v>
      </c>
      <c r="D16" s="38" t="s">
        <v>74</v>
      </c>
      <c r="E16" s="39" t="s">
        <v>75</v>
      </c>
      <c r="F16" s="33" t="s">
        <v>62</v>
      </c>
      <c r="G16" s="40" t="s">
        <v>63</v>
      </c>
      <c r="H16" s="37" t="s">
        <v>76</v>
      </c>
      <c r="I16" s="37" t="s">
        <v>20</v>
      </c>
      <c r="J16" s="37" t="s">
        <v>21</v>
      </c>
    </row>
    <row r="17" customFormat="false" ht="36" hidden="false" customHeight="true" outlineLevel="0" collapsed="false">
      <c r="A17" s="35" t="s">
        <v>71</v>
      </c>
      <c r="B17" s="11" t="s">
        <v>77</v>
      </c>
      <c r="C17" s="12" t="s">
        <v>78</v>
      </c>
      <c r="D17" s="13" t="s">
        <v>79</v>
      </c>
      <c r="E17" s="14" t="s">
        <v>80</v>
      </c>
      <c r="F17" s="9" t="s">
        <v>17</v>
      </c>
      <c r="G17" s="15" t="s">
        <v>81</v>
      </c>
      <c r="H17" s="12" t="s">
        <v>82</v>
      </c>
      <c r="I17" s="12" t="s">
        <v>20</v>
      </c>
      <c r="J17" s="12" t="s">
        <v>21</v>
      </c>
    </row>
    <row r="18" customFormat="false" ht="36" hidden="false" customHeight="true" outlineLevel="0" collapsed="false">
      <c r="A18" s="35" t="s">
        <v>71</v>
      </c>
      <c r="B18" s="36" t="s">
        <v>83</v>
      </c>
      <c r="C18" s="37" t="s">
        <v>84</v>
      </c>
      <c r="D18" s="38" t="s">
        <v>85</v>
      </c>
      <c r="E18" s="39" t="s">
        <v>80</v>
      </c>
      <c r="F18" s="9" t="s">
        <v>17</v>
      </c>
      <c r="G18" s="40" t="s">
        <v>18</v>
      </c>
      <c r="H18" s="37" t="s">
        <v>86</v>
      </c>
      <c r="I18" s="37" t="s">
        <v>20</v>
      </c>
      <c r="J18" s="37" t="s">
        <v>21</v>
      </c>
    </row>
    <row r="19" customFormat="false" ht="18" hidden="false" customHeight="true" outlineLevel="0" collapsed="false">
      <c r="A19" s="41" t="s">
        <v>87</v>
      </c>
      <c r="B19" s="41"/>
      <c r="C19" s="41"/>
      <c r="D19" s="41"/>
      <c r="E19" s="41"/>
      <c r="F19" s="41"/>
      <c r="G19" s="41"/>
      <c r="H19" s="41"/>
      <c r="I19" s="41"/>
      <c r="J19" s="41"/>
    </row>
    <row r="20" customFormat="false" ht="36" hidden="false" customHeight="true" outlineLevel="0" collapsed="false">
      <c r="A20" s="42" t="s">
        <v>88</v>
      </c>
      <c r="B20" s="43" t="s">
        <v>89</v>
      </c>
      <c r="C20" s="44" t="s">
        <v>90</v>
      </c>
      <c r="D20" s="45" t="s">
        <v>91</v>
      </c>
      <c r="E20" s="46" t="s">
        <v>92</v>
      </c>
      <c r="F20" s="33" t="s">
        <v>62</v>
      </c>
      <c r="G20" s="47" t="s">
        <v>56</v>
      </c>
      <c r="H20" s="44" t="s">
        <v>93</v>
      </c>
      <c r="I20" s="44" t="s">
        <v>20</v>
      </c>
      <c r="J20" s="44" t="s">
        <v>21</v>
      </c>
    </row>
    <row r="21" customFormat="false" ht="36" hidden="false" customHeight="true" outlineLevel="0" collapsed="false">
      <c r="A21" s="42" t="s">
        <v>88</v>
      </c>
      <c r="B21" s="11" t="s">
        <v>94</v>
      </c>
      <c r="C21" s="12" t="s">
        <v>95</v>
      </c>
      <c r="D21" s="13" t="s">
        <v>96</v>
      </c>
      <c r="E21" s="14" t="s">
        <v>97</v>
      </c>
      <c r="F21" s="31" t="s">
        <v>55</v>
      </c>
      <c r="G21" s="15" t="s">
        <v>18</v>
      </c>
      <c r="H21" s="12" t="s">
        <v>98</v>
      </c>
      <c r="I21" s="12" t="s">
        <v>20</v>
      </c>
      <c r="J21" s="12" t="s">
        <v>21</v>
      </c>
    </row>
    <row r="22" customFormat="false" ht="18" hidden="false" customHeight="true" outlineLevel="0" collapsed="false">
      <c r="A22" s="48" t="s">
        <v>99</v>
      </c>
      <c r="B22" s="48"/>
      <c r="C22" s="48"/>
      <c r="D22" s="48"/>
      <c r="E22" s="48"/>
      <c r="F22" s="48"/>
      <c r="G22" s="48"/>
      <c r="H22" s="48"/>
      <c r="I22" s="48"/>
      <c r="J22" s="48"/>
    </row>
    <row r="23" customFormat="false" ht="36" hidden="false" customHeight="true" outlineLevel="0" collapsed="false">
      <c r="A23" s="49" t="s">
        <v>100</v>
      </c>
      <c r="B23" s="11" t="s">
        <v>101</v>
      </c>
      <c r="C23" s="12" t="s">
        <v>102</v>
      </c>
      <c r="D23" s="13" t="s">
        <v>103</v>
      </c>
      <c r="E23" s="14" t="s">
        <v>61</v>
      </c>
      <c r="F23" s="33" t="s">
        <v>62</v>
      </c>
      <c r="G23" s="15" t="s">
        <v>56</v>
      </c>
      <c r="H23" s="12" t="s">
        <v>104</v>
      </c>
      <c r="I23" s="12" t="s">
        <v>20</v>
      </c>
      <c r="J23" s="12" t="s">
        <v>21</v>
      </c>
    </row>
    <row r="24" customFormat="false" ht="18" hidden="false" customHeight="true" outlineLevel="0" collapsed="false">
      <c r="A24" s="50" t="s">
        <v>105</v>
      </c>
      <c r="B24" s="50"/>
      <c r="C24" s="50"/>
      <c r="D24" s="50"/>
      <c r="E24" s="50"/>
      <c r="F24" s="50"/>
      <c r="G24" s="50"/>
      <c r="H24" s="50"/>
      <c r="I24" s="50"/>
      <c r="J24" s="50"/>
    </row>
    <row r="25" customFormat="false" ht="36" hidden="false" customHeight="true" outlineLevel="0" collapsed="false">
      <c r="A25" s="51" t="s">
        <v>106</v>
      </c>
      <c r="B25" s="11" t="s">
        <v>107</v>
      </c>
      <c r="C25" s="12" t="s">
        <v>108</v>
      </c>
      <c r="D25" s="13" t="s">
        <v>109</v>
      </c>
      <c r="E25" s="14" t="s">
        <v>110</v>
      </c>
      <c r="F25" s="31" t="s">
        <v>55</v>
      </c>
      <c r="G25" s="15" t="s">
        <v>56</v>
      </c>
      <c r="H25" s="12" t="s">
        <v>111</v>
      </c>
      <c r="I25" s="12" t="s">
        <v>20</v>
      </c>
      <c r="J25" s="12" t="s">
        <v>21</v>
      </c>
    </row>
    <row r="26" customFormat="false" ht="36" hidden="false" customHeight="true" outlineLevel="0" collapsed="false">
      <c r="A26" s="51" t="s">
        <v>106</v>
      </c>
      <c r="B26" s="52" t="s">
        <v>112</v>
      </c>
      <c r="C26" s="53" t="s">
        <v>108</v>
      </c>
      <c r="D26" s="54" t="s">
        <v>113</v>
      </c>
      <c r="E26" s="55" t="s">
        <v>110</v>
      </c>
      <c r="F26" s="31" t="s">
        <v>55</v>
      </c>
      <c r="G26" s="56" t="s">
        <v>56</v>
      </c>
      <c r="H26" s="53" t="s">
        <v>114</v>
      </c>
      <c r="I26" s="53" t="s">
        <v>20</v>
      </c>
      <c r="J26" s="53" t="s">
        <v>21</v>
      </c>
    </row>
    <row r="27" customFormat="false" ht="18" hidden="false" customHeight="true" outlineLevel="0" collapsed="false">
      <c r="A27" s="57" t="s">
        <v>115</v>
      </c>
      <c r="B27" s="57"/>
      <c r="C27" s="57"/>
      <c r="D27" s="57"/>
      <c r="E27" s="57"/>
      <c r="F27" s="57"/>
      <c r="G27" s="57"/>
      <c r="H27" s="57"/>
      <c r="I27" s="57"/>
      <c r="J27" s="57"/>
    </row>
    <row r="28" customFormat="false" ht="36" hidden="false" customHeight="true" outlineLevel="0" collapsed="false">
      <c r="A28" s="19" t="s">
        <v>116</v>
      </c>
      <c r="B28" s="20" t="s">
        <v>117</v>
      </c>
      <c r="C28" s="21" t="s">
        <v>118</v>
      </c>
      <c r="D28" s="22" t="s">
        <v>119</v>
      </c>
      <c r="E28" s="23" t="s">
        <v>25</v>
      </c>
      <c r="F28" s="31" t="s">
        <v>55</v>
      </c>
      <c r="G28" s="24" t="s">
        <v>56</v>
      </c>
      <c r="H28" s="21" t="s">
        <v>120</v>
      </c>
      <c r="I28" s="21" t="s">
        <v>20</v>
      </c>
      <c r="J28" s="21" t="s">
        <v>21</v>
      </c>
    </row>
    <row r="29" customFormat="false" ht="18" hidden="false" customHeight="true" outlineLevel="0" collapsed="false">
      <c r="A29" s="58" t="s">
        <v>121</v>
      </c>
      <c r="B29" s="58"/>
      <c r="C29" s="58"/>
      <c r="D29" s="58"/>
      <c r="E29" s="58"/>
      <c r="F29" s="58"/>
      <c r="G29" s="58"/>
      <c r="H29" s="58"/>
      <c r="I29" s="58"/>
      <c r="J29" s="58"/>
    </row>
    <row r="30" customFormat="false" ht="36" hidden="false" customHeight="true" outlineLevel="0" collapsed="false">
      <c r="A30" s="59" t="s">
        <v>122</v>
      </c>
      <c r="B30" s="60" t="s">
        <v>123</v>
      </c>
      <c r="C30" s="61" t="s">
        <v>124</v>
      </c>
      <c r="D30" s="62" t="s">
        <v>125</v>
      </c>
      <c r="E30" s="63" t="s">
        <v>126</v>
      </c>
      <c r="F30" s="9" t="s">
        <v>17</v>
      </c>
      <c r="G30" s="64" t="s">
        <v>18</v>
      </c>
      <c r="H30" s="61" t="s">
        <v>127</v>
      </c>
      <c r="I30" s="61" t="s">
        <v>20</v>
      </c>
      <c r="J30" s="61" t="s">
        <v>21</v>
      </c>
    </row>
    <row r="31" customFormat="false" ht="18" hidden="false" customHeight="true" outlineLevel="0" collapsed="false">
      <c r="A31" s="65" t="s">
        <v>128</v>
      </c>
      <c r="B31" s="65"/>
      <c r="C31" s="65"/>
      <c r="D31" s="65"/>
      <c r="E31" s="65"/>
      <c r="F31" s="65"/>
      <c r="G31" s="65"/>
      <c r="H31" s="65"/>
      <c r="I31" s="65"/>
      <c r="J31" s="65"/>
    </row>
    <row r="32" customFormat="false" ht="36" hidden="false" customHeight="true" outlineLevel="0" collapsed="false">
      <c r="A32" s="66" t="s">
        <v>129</v>
      </c>
      <c r="B32" s="60" t="s">
        <v>130</v>
      </c>
      <c r="C32" s="61" t="s">
        <v>131</v>
      </c>
      <c r="D32" s="62" t="s">
        <v>132</v>
      </c>
      <c r="E32" s="63" t="s">
        <v>133</v>
      </c>
      <c r="F32" s="17" t="s">
        <v>40</v>
      </c>
      <c r="G32" s="64" t="s">
        <v>18</v>
      </c>
      <c r="H32" s="61" t="s">
        <v>134</v>
      </c>
      <c r="I32" s="61" t="s">
        <v>20</v>
      </c>
      <c r="J32" s="61" t="s">
        <v>21</v>
      </c>
    </row>
    <row r="34" customFormat="false" ht="18" hidden="false" customHeight="true" outlineLevel="0" collapsed="false">
      <c r="A34" s="67" t="s">
        <v>135</v>
      </c>
      <c r="B34" s="67"/>
      <c r="C34" s="67"/>
      <c r="D34" s="67"/>
      <c r="E34" s="67"/>
      <c r="F34" s="67"/>
      <c r="G34" s="67"/>
      <c r="H34" s="67"/>
      <c r="I34" s="67"/>
      <c r="J34" s="67"/>
    </row>
    <row r="35" customFormat="false" ht="48" hidden="false" customHeight="true" outlineLevel="0" collapsed="false">
      <c r="A35" s="68" t="s">
        <v>136</v>
      </c>
      <c r="B35" s="68" t="s">
        <v>137</v>
      </c>
      <c r="C35" s="69" t="s">
        <v>138</v>
      </c>
      <c r="D35" s="69" t="s">
        <v>139</v>
      </c>
      <c r="E35" s="69" t="s">
        <v>140</v>
      </c>
      <c r="F35" s="70" t="s">
        <v>30</v>
      </c>
      <c r="G35" s="69" t="s">
        <v>48</v>
      </c>
      <c r="H35" s="69" t="s">
        <v>141</v>
      </c>
      <c r="I35" s="69" t="s">
        <v>142</v>
      </c>
      <c r="J35" s="69" t="s">
        <v>143</v>
      </c>
    </row>
    <row r="36" customFormat="false" ht="48" hidden="false" customHeight="true" outlineLevel="0" collapsed="false">
      <c r="A36" s="68" t="s">
        <v>136</v>
      </c>
      <c r="B36" s="68" t="s">
        <v>144</v>
      </c>
      <c r="C36" s="69" t="s">
        <v>145</v>
      </c>
      <c r="D36" s="69" t="s">
        <v>146</v>
      </c>
      <c r="E36" s="69" t="s">
        <v>147</v>
      </c>
      <c r="F36" s="71" t="s">
        <v>17</v>
      </c>
      <c r="G36" s="69" t="s">
        <v>48</v>
      </c>
      <c r="H36" s="69" t="s">
        <v>148</v>
      </c>
      <c r="I36" s="69" t="s">
        <v>142</v>
      </c>
      <c r="J36" s="69" t="s">
        <v>149</v>
      </c>
    </row>
    <row r="37" customFormat="false" ht="18" hidden="false" customHeight="true" outlineLevel="0" collapsed="false">
      <c r="A37" s="72" t="s">
        <v>150</v>
      </c>
      <c r="B37" s="72"/>
      <c r="C37" s="72"/>
      <c r="D37" s="72"/>
      <c r="E37" s="72"/>
      <c r="F37" s="72"/>
      <c r="G37" s="72"/>
      <c r="H37" s="72"/>
      <c r="I37" s="72"/>
      <c r="J37" s="72"/>
    </row>
    <row r="38" customFormat="false" ht="48" hidden="false" customHeight="true" outlineLevel="0" collapsed="false">
      <c r="A38" s="68" t="s">
        <v>151</v>
      </c>
      <c r="B38" s="68" t="s">
        <v>152</v>
      </c>
      <c r="C38" s="69" t="s">
        <v>153</v>
      </c>
      <c r="D38" s="69" t="s">
        <v>154</v>
      </c>
      <c r="E38" s="69" t="s">
        <v>155</v>
      </c>
      <c r="F38" s="73" t="s">
        <v>55</v>
      </c>
      <c r="G38" s="69" t="s">
        <v>18</v>
      </c>
      <c r="H38" s="69" t="s">
        <v>156</v>
      </c>
      <c r="I38" s="69" t="s">
        <v>142</v>
      </c>
      <c r="J38" s="69" t="s">
        <v>157</v>
      </c>
    </row>
    <row r="39" customFormat="false" ht="48" hidden="false" customHeight="true" outlineLevel="0" collapsed="false">
      <c r="A39" s="68" t="s">
        <v>151</v>
      </c>
      <c r="B39" s="68" t="s">
        <v>158</v>
      </c>
      <c r="C39" s="69" t="s">
        <v>159</v>
      </c>
      <c r="D39" s="69" t="s">
        <v>160</v>
      </c>
      <c r="E39" s="69" t="s">
        <v>161</v>
      </c>
      <c r="F39" s="73" t="s">
        <v>55</v>
      </c>
      <c r="G39" s="69" t="s">
        <v>48</v>
      </c>
      <c r="H39" s="69" t="s">
        <v>162</v>
      </c>
      <c r="I39" s="69" t="s">
        <v>142</v>
      </c>
      <c r="J39" s="69" t="s">
        <v>163</v>
      </c>
    </row>
    <row r="40" customFormat="false" ht="48" hidden="false" customHeight="true" outlineLevel="0" collapsed="false">
      <c r="A40" s="68" t="s">
        <v>151</v>
      </c>
      <c r="B40" s="68" t="s">
        <v>164</v>
      </c>
      <c r="C40" s="69" t="s">
        <v>165</v>
      </c>
      <c r="D40" s="69" t="s">
        <v>166</v>
      </c>
      <c r="E40" s="69" t="s">
        <v>167</v>
      </c>
      <c r="F40" s="71" t="s">
        <v>17</v>
      </c>
      <c r="G40" s="69" t="s">
        <v>48</v>
      </c>
      <c r="H40" s="69" t="s">
        <v>168</v>
      </c>
      <c r="I40" s="69" t="s">
        <v>142</v>
      </c>
      <c r="J40" s="69" t="s">
        <v>169</v>
      </c>
    </row>
    <row r="41" customFormat="false" ht="48" hidden="false" customHeight="true" outlineLevel="0" collapsed="false">
      <c r="A41" s="68" t="s">
        <v>151</v>
      </c>
      <c r="B41" s="68" t="s">
        <v>170</v>
      </c>
      <c r="C41" s="69" t="s">
        <v>171</v>
      </c>
      <c r="D41" s="69" t="s">
        <v>172</v>
      </c>
      <c r="E41" s="69" t="s">
        <v>173</v>
      </c>
      <c r="F41" s="71" t="s">
        <v>17</v>
      </c>
      <c r="G41" s="69" t="s">
        <v>48</v>
      </c>
      <c r="H41" s="69" t="s">
        <v>174</v>
      </c>
      <c r="I41" s="69" t="s">
        <v>142</v>
      </c>
      <c r="J41" s="69" t="s">
        <v>175</v>
      </c>
    </row>
    <row r="42" customFormat="false" ht="18" hidden="false" customHeight="true" outlineLevel="0" collapsed="false">
      <c r="A42" s="72" t="s">
        <v>176</v>
      </c>
      <c r="B42" s="72"/>
      <c r="C42" s="72"/>
      <c r="D42" s="72"/>
      <c r="E42" s="72"/>
      <c r="F42" s="72"/>
      <c r="G42" s="72"/>
      <c r="H42" s="72"/>
      <c r="I42" s="72"/>
      <c r="J42" s="72"/>
    </row>
    <row r="43" customFormat="false" ht="48" hidden="false" customHeight="true" outlineLevel="0" collapsed="false">
      <c r="A43" s="68" t="s">
        <v>177</v>
      </c>
      <c r="B43" s="68" t="s">
        <v>178</v>
      </c>
      <c r="C43" s="69" t="s">
        <v>179</v>
      </c>
      <c r="D43" s="69" t="s">
        <v>180</v>
      </c>
      <c r="E43" s="69" t="s">
        <v>181</v>
      </c>
      <c r="F43" s="70" t="s">
        <v>30</v>
      </c>
      <c r="G43" s="69" t="s">
        <v>48</v>
      </c>
      <c r="H43" s="69" t="s">
        <v>182</v>
      </c>
      <c r="I43" s="69" t="s">
        <v>142</v>
      </c>
      <c r="J43" s="69" t="s">
        <v>183</v>
      </c>
    </row>
    <row r="44" customFormat="false" ht="48" hidden="false" customHeight="true" outlineLevel="0" collapsed="false">
      <c r="A44" s="68" t="s">
        <v>177</v>
      </c>
      <c r="B44" s="68" t="s">
        <v>184</v>
      </c>
      <c r="C44" s="69" t="s">
        <v>185</v>
      </c>
      <c r="D44" s="69" t="s">
        <v>186</v>
      </c>
      <c r="E44" s="69" t="s">
        <v>187</v>
      </c>
      <c r="F44" s="70" t="s">
        <v>30</v>
      </c>
      <c r="G44" s="69" t="s">
        <v>48</v>
      </c>
      <c r="H44" s="69" t="s">
        <v>188</v>
      </c>
      <c r="I44" s="69" t="s">
        <v>142</v>
      </c>
      <c r="J44" s="69" t="s">
        <v>189</v>
      </c>
    </row>
    <row r="45" customFormat="false" ht="48" hidden="false" customHeight="true" outlineLevel="0" collapsed="false">
      <c r="A45" s="68" t="s">
        <v>177</v>
      </c>
      <c r="B45" s="68" t="s">
        <v>190</v>
      </c>
      <c r="C45" s="69" t="s">
        <v>191</v>
      </c>
      <c r="D45" s="69" t="s">
        <v>192</v>
      </c>
      <c r="E45" s="69" t="s">
        <v>193</v>
      </c>
      <c r="F45" s="70" t="s">
        <v>30</v>
      </c>
      <c r="G45" s="69" t="s">
        <v>48</v>
      </c>
      <c r="H45" s="69" t="s">
        <v>194</v>
      </c>
      <c r="I45" s="69" t="s">
        <v>142</v>
      </c>
      <c r="J45" s="69" t="s">
        <v>195</v>
      </c>
    </row>
    <row r="46" customFormat="false" ht="48" hidden="false" customHeight="true" outlineLevel="0" collapsed="false">
      <c r="A46" s="68" t="s">
        <v>177</v>
      </c>
      <c r="B46" s="68" t="s">
        <v>196</v>
      </c>
      <c r="C46" s="69" t="s">
        <v>197</v>
      </c>
      <c r="D46" s="69" t="s">
        <v>198</v>
      </c>
      <c r="E46" s="69" t="s">
        <v>140</v>
      </c>
      <c r="F46" s="71" t="s">
        <v>17</v>
      </c>
      <c r="G46" s="69" t="s">
        <v>18</v>
      </c>
      <c r="H46" s="69" t="s">
        <v>199</v>
      </c>
      <c r="I46" s="69" t="s">
        <v>142</v>
      </c>
      <c r="J46" s="69" t="s">
        <v>200</v>
      </c>
    </row>
    <row r="47" customFormat="false" ht="48" hidden="false" customHeight="true" outlineLevel="0" collapsed="false">
      <c r="A47" s="68" t="s">
        <v>177</v>
      </c>
      <c r="B47" s="68" t="s">
        <v>201</v>
      </c>
      <c r="C47" s="69" t="s">
        <v>202</v>
      </c>
      <c r="D47" s="69" t="s">
        <v>203</v>
      </c>
      <c r="E47" s="69" t="s">
        <v>204</v>
      </c>
      <c r="F47" s="74" t="s">
        <v>40</v>
      </c>
      <c r="G47" s="69" t="s">
        <v>48</v>
      </c>
      <c r="H47" s="69" t="s">
        <v>205</v>
      </c>
      <c r="I47" s="69" t="s">
        <v>142</v>
      </c>
      <c r="J47" s="69" t="s">
        <v>206</v>
      </c>
    </row>
    <row r="48" customFormat="false" ht="18" hidden="false" customHeight="true" outlineLevel="0" collapsed="false">
      <c r="A48" s="72" t="s">
        <v>207</v>
      </c>
      <c r="B48" s="72"/>
      <c r="C48" s="72"/>
      <c r="D48" s="72"/>
      <c r="E48" s="72"/>
      <c r="F48" s="72"/>
      <c r="G48" s="72"/>
      <c r="H48" s="72"/>
      <c r="I48" s="72"/>
      <c r="J48" s="72"/>
    </row>
    <row r="49" customFormat="false" ht="48" hidden="false" customHeight="true" outlineLevel="0" collapsed="false">
      <c r="A49" s="68" t="s">
        <v>208</v>
      </c>
      <c r="B49" s="68" t="s">
        <v>209</v>
      </c>
      <c r="C49" s="69" t="s">
        <v>210</v>
      </c>
      <c r="D49" s="69" t="s">
        <v>211</v>
      </c>
      <c r="E49" s="69" t="s">
        <v>212</v>
      </c>
      <c r="F49" s="70" t="s">
        <v>30</v>
      </c>
      <c r="G49" s="69" t="s">
        <v>18</v>
      </c>
      <c r="H49" s="69" t="s">
        <v>213</v>
      </c>
      <c r="I49" s="69" t="s">
        <v>142</v>
      </c>
      <c r="J49" s="69" t="s">
        <v>214</v>
      </c>
    </row>
    <row r="50" customFormat="false" ht="48" hidden="false" customHeight="true" outlineLevel="0" collapsed="false">
      <c r="A50" s="68" t="s">
        <v>208</v>
      </c>
      <c r="B50" s="68" t="s">
        <v>215</v>
      </c>
      <c r="C50" s="69" t="s">
        <v>216</v>
      </c>
      <c r="D50" s="69" t="s">
        <v>217</v>
      </c>
      <c r="E50" s="69" t="s">
        <v>187</v>
      </c>
      <c r="F50" s="74" t="s">
        <v>40</v>
      </c>
      <c r="G50" s="69" t="s">
        <v>48</v>
      </c>
      <c r="H50" s="69" t="s">
        <v>218</v>
      </c>
      <c r="I50" s="69" t="s">
        <v>142</v>
      </c>
      <c r="J50" s="69" t="s">
        <v>219</v>
      </c>
    </row>
    <row r="51" customFormat="false" ht="48" hidden="false" customHeight="true" outlineLevel="0" collapsed="false">
      <c r="A51" s="68" t="s">
        <v>208</v>
      </c>
      <c r="B51" s="68" t="s">
        <v>220</v>
      </c>
      <c r="C51" s="69" t="s">
        <v>221</v>
      </c>
      <c r="D51" s="69" t="s">
        <v>222</v>
      </c>
      <c r="E51" s="69" t="s">
        <v>25</v>
      </c>
      <c r="F51" s="71" t="s">
        <v>17</v>
      </c>
      <c r="G51" s="69" t="s">
        <v>48</v>
      </c>
      <c r="H51" s="69" t="s">
        <v>223</v>
      </c>
      <c r="I51" s="69" t="s">
        <v>142</v>
      </c>
      <c r="J51" s="69" t="s">
        <v>224</v>
      </c>
    </row>
    <row r="52" customFormat="false" ht="18" hidden="false" customHeight="true" outlineLevel="0" collapsed="false">
      <c r="A52" s="72" t="s">
        <v>225</v>
      </c>
      <c r="B52" s="72"/>
      <c r="C52" s="72"/>
      <c r="D52" s="72"/>
      <c r="E52" s="72"/>
      <c r="F52" s="72"/>
      <c r="G52" s="72"/>
      <c r="H52" s="72"/>
      <c r="I52" s="72"/>
      <c r="J52" s="72"/>
    </row>
    <row r="53" customFormat="false" ht="48" hidden="false" customHeight="true" outlineLevel="0" collapsed="false">
      <c r="A53" s="68" t="s">
        <v>226</v>
      </c>
      <c r="B53" s="68" t="s">
        <v>227</v>
      </c>
      <c r="C53" s="69" t="s">
        <v>228</v>
      </c>
      <c r="D53" s="69" t="s">
        <v>229</v>
      </c>
      <c r="E53" s="69" t="s">
        <v>161</v>
      </c>
      <c r="F53" s="71" t="s">
        <v>17</v>
      </c>
      <c r="G53" s="69" t="s">
        <v>230</v>
      </c>
      <c r="H53" s="69" t="s">
        <v>231</v>
      </c>
      <c r="I53" s="69" t="s">
        <v>142</v>
      </c>
      <c r="J53" s="69" t="s">
        <v>232</v>
      </c>
    </row>
    <row r="54" customFormat="false" ht="48" hidden="false" customHeight="true" outlineLevel="0" collapsed="false">
      <c r="A54" s="68" t="s">
        <v>226</v>
      </c>
      <c r="B54" s="68" t="s">
        <v>233</v>
      </c>
      <c r="C54" s="69" t="s">
        <v>234</v>
      </c>
      <c r="D54" s="69" t="s">
        <v>235</v>
      </c>
      <c r="E54" s="69" t="s">
        <v>97</v>
      </c>
      <c r="F54" s="71" t="s">
        <v>17</v>
      </c>
      <c r="G54" s="69" t="s">
        <v>56</v>
      </c>
      <c r="H54" s="69" t="s">
        <v>236</v>
      </c>
      <c r="I54" s="69" t="s">
        <v>142</v>
      </c>
      <c r="J54" s="69" t="s">
        <v>237</v>
      </c>
    </row>
    <row r="55" customFormat="false" ht="48" hidden="false" customHeight="true" outlineLevel="0" collapsed="false">
      <c r="A55" s="68" t="s">
        <v>226</v>
      </c>
      <c r="B55" s="68" t="s">
        <v>238</v>
      </c>
      <c r="C55" s="69" t="s">
        <v>239</v>
      </c>
      <c r="D55" s="69" t="s">
        <v>240</v>
      </c>
      <c r="E55" s="69" t="s">
        <v>140</v>
      </c>
      <c r="F55" s="71" t="s">
        <v>17</v>
      </c>
      <c r="G55" s="69" t="s">
        <v>230</v>
      </c>
      <c r="H55" s="69" t="s">
        <v>241</v>
      </c>
      <c r="I55" s="69" t="s">
        <v>142</v>
      </c>
      <c r="J55" s="69" t="s">
        <v>242</v>
      </c>
    </row>
    <row r="56" customFormat="false" ht="48" hidden="false" customHeight="true" outlineLevel="0" collapsed="false">
      <c r="A56" s="68" t="s">
        <v>226</v>
      </c>
      <c r="B56" s="68" t="s">
        <v>243</v>
      </c>
      <c r="C56" s="69" t="s">
        <v>244</v>
      </c>
      <c r="D56" s="69" t="s">
        <v>245</v>
      </c>
      <c r="E56" s="69" t="s">
        <v>246</v>
      </c>
      <c r="F56" s="73" t="s">
        <v>55</v>
      </c>
      <c r="G56" s="69" t="s">
        <v>230</v>
      </c>
      <c r="H56" s="69" t="s">
        <v>247</v>
      </c>
      <c r="I56" s="69" t="s">
        <v>142</v>
      </c>
      <c r="J56" s="69" t="s">
        <v>248</v>
      </c>
    </row>
    <row r="57" customFormat="false" ht="48" hidden="false" customHeight="true" outlineLevel="0" collapsed="false">
      <c r="A57" s="68" t="s">
        <v>226</v>
      </c>
      <c r="B57" s="68" t="s">
        <v>249</v>
      </c>
      <c r="C57" s="69" t="s">
        <v>250</v>
      </c>
      <c r="D57" s="69" t="s">
        <v>251</v>
      </c>
      <c r="E57" s="69" t="s">
        <v>140</v>
      </c>
      <c r="F57" s="71" t="s">
        <v>17</v>
      </c>
      <c r="G57" s="69" t="s">
        <v>48</v>
      </c>
      <c r="H57" s="69" t="s">
        <v>252</v>
      </c>
      <c r="I57" s="69" t="s">
        <v>142</v>
      </c>
      <c r="J57" s="69" t="s">
        <v>253</v>
      </c>
    </row>
    <row r="58" customFormat="false" ht="18" hidden="false" customHeight="true" outlineLevel="0" collapsed="false">
      <c r="A58" s="72" t="s">
        <v>254</v>
      </c>
      <c r="B58" s="72"/>
      <c r="C58" s="72"/>
      <c r="D58" s="72"/>
      <c r="E58" s="72"/>
      <c r="F58" s="72"/>
      <c r="G58" s="72"/>
      <c r="H58" s="72"/>
      <c r="I58" s="72"/>
      <c r="J58" s="72"/>
    </row>
    <row r="59" customFormat="false" ht="48" hidden="false" customHeight="true" outlineLevel="0" collapsed="false">
      <c r="A59" s="68" t="s">
        <v>255</v>
      </c>
      <c r="B59" s="68" t="s">
        <v>256</v>
      </c>
      <c r="C59" s="69" t="s">
        <v>257</v>
      </c>
      <c r="D59" s="69" t="s">
        <v>258</v>
      </c>
      <c r="E59" s="69" t="s">
        <v>126</v>
      </c>
      <c r="F59" s="71" t="s">
        <v>17</v>
      </c>
      <c r="G59" s="69" t="s">
        <v>48</v>
      </c>
      <c r="H59" s="69" t="s">
        <v>259</v>
      </c>
      <c r="I59" s="69" t="s">
        <v>142</v>
      </c>
      <c r="J59" s="69" t="s">
        <v>260</v>
      </c>
    </row>
    <row r="60" customFormat="false" ht="48" hidden="false" customHeight="true" outlineLevel="0" collapsed="false">
      <c r="A60" s="68" t="s">
        <v>255</v>
      </c>
      <c r="B60" s="68" t="s">
        <v>261</v>
      </c>
      <c r="C60" s="69" t="s">
        <v>262</v>
      </c>
      <c r="D60" s="69" t="s">
        <v>263</v>
      </c>
      <c r="E60" s="69" t="s">
        <v>187</v>
      </c>
      <c r="F60" s="70" t="s">
        <v>30</v>
      </c>
      <c r="G60" s="69" t="s">
        <v>48</v>
      </c>
      <c r="H60" s="69" t="s">
        <v>264</v>
      </c>
      <c r="I60" s="69" t="s">
        <v>142</v>
      </c>
      <c r="J60" s="69" t="s">
        <v>265</v>
      </c>
    </row>
    <row r="61" customFormat="false" ht="48" hidden="false" customHeight="true" outlineLevel="0" collapsed="false">
      <c r="A61" s="68" t="s">
        <v>255</v>
      </c>
      <c r="B61" s="68" t="s">
        <v>266</v>
      </c>
      <c r="C61" s="69" t="s">
        <v>267</v>
      </c>
      <c r="D61" s="69" t="s">
        <v>268</v>
      </c>
      <c r="E61" s="69" t="s">
        <v>269</v>
      </c>
      <c r="F61" s="73" t="s">
        <v>55</v>
      </c>
      <c r="G61" s="69" t="s">
        <v>230</v>
      </c>
      <c r="H61" s="69" t="s">
        <v>270</v>
      </c>
      <c r="I61" s="69" t="s">
        <v>142</v>
      </c>
      <c r="J61" s="69" t="s">
        <v>271</v>
      </c>
    </row>
    <row r="62" customFormat="false" ht="48" hidden="false" customHeight="true" outlineLevel="0" collapsed="false">
      <c r="A62" s="68" t="s">
        <v>255</v>
      </c>
      <c r="B62" s="68" t="s">
        <v>272</v>
      </c>
      <c r="C62" s="69" t="s">
        <v>273</v>
      </c>
      <c r="D62" s="69" t="s">
        <v>274</v>
      </c>
      <c r="E62" s="69" t="s">
        <v>187</v>
      </c>
      <c r="F62" s="74" t="s">
        <v>40</v>
      </c>
      <c r="G62" s="69" t="s">
        <v>48</v>
      </c>
      <c r="H62" s="69" t="s">
        <v>275</v>
      </c>
      <c r="I62" s="69" t="s">
        <v>142</v>
      </c>
      <c r="J62" s="69" t="s">
        <v>276</v>
      </c>
    </row>
    <row r="64" customFormat="false" ht="15" hidden="false" customHeight="true" outlineLevel="0" collapsed="false">
      <c r="A64" s="75" t="s">
        <v>277</v>
      </c>
      <c r="B64" s="75"/>
      <c r="C64" s="75"/>
      <c r="D64" s="75"/>
      <c r="E64" s="75"/>
      <c r="F64" s="75"/>
      <c r="G64" s="75"/>
      <c r="H64" s="75"/>
      <c r="I64" s="75"/>
      <c r="J64" s="75"/>
    </row>
    <row r="65" customFormat="false" ht="30" hidden="false" customHeight="true" outlineLevel="0" collapsed="false">
      <c r="A65" s="75" t="s">
        <v>278</v>
      </c>
      <c r="B65" s="75"/>
      <c r="C65" s="75"/>
      <c r="D65" s="75"/>
      <c r="E65" s="75"/>
      <c r="F65" s="75"/>
      <c r="G65" s="75"/>
      <c r="H65" s="75"/>
      <c r="I65" s="75"/>
      <c r="J65" s="75"/>
    </row>
  </sheetData>
  <autoFilter ref="A2:H32"/>
  <mergeCells count="19">
    <mergeCell ref="A1:J1"/>
    <mergeCell ref="A3:J3"/>
    <mergeCell ref="A9:J9"/>
    <mergeCell ref="A11:J11"/>
    <mergeCell ref="A15:J15"/>
    <mergeCell ref="A19:J19"/>
    <mergeCell ref="A22:J22"/>
    <mergeCell ref="A24:J24"/>
    <mergeCell ref="A27:J27"/>
    <mergeCell ref="A29:J29"/>
    <mergeCell ref="A31:J31"/>
    <mergeCell ref="A34:J34"/>
    <mergeCell ref="A37:J37"/>
    <mergeCell ref="A42:J42"/>
    <mergeCell ref="A48:J48"/>
    <mergeCell ref="A52:J52"/>
    <mergeCell ref="A58:J58"/>
    <mergeCell ref="A64:J64"/>
    <mergeCell ref="A65:J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48"/>
    <col collapsed="false" customWidth="true" hidden="false" outlineLevel="0" max="8" min="7" style="0" width="38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76" t="s">
        <v>279</v>
      </c>
      <c r="B1" s="76"/>
      <c r="C1" s="76"/>
      <c r="D1" s="76"/>
      <c r="E1" s="76"/>
      <c r="F1" s="76"/>
      <c r="G1" s="76"/>
      <c r="H1" s="76"/>
      <c r="I1" s="76"/>
      <c r="J1" s="76"/>
    </row>
    <row r="2" customFormat="false" ht="30" hidden="false" customHeight="true" outlineLevel="0" collapsed="false">
      <c r="A2" s="77" t="s">
        <v>280</v>
      </c>
      <c r="B2" s="77"/>
      <c r="C2" s="77"/>
      <c r="D2" s="77"/>
      <c r="E2" s="77"/>
      <c r="F2" s="77"/>
      <c r="G2" s="77"/>
      <c r="H2" s="77"/>
      <c r="I2" s="77"/>
      <c r="J2" s="77"/>
    </row>
    <row r="3" customFormat="false" ht="30" hidden="false" customHeight="true" outlineLevel="0" collapsed="false">
      <c r="A3" s="78" t="s">
        <v>281</v>
      </c>
      <c r="B3" s="78" t="s">
        <v>2</v>
      </c>
      <c r="C3" s="78" t="s">
        <v>282</v>
      </c>
      <c r="D3" s="78" t="s">
        <v>283</v>
      </c>
      <c r="E3" s="78" t="s">
        <v>284</v>
      </c>
      <c r="F3" s="78" t="s">
        <v>285</v>
      </c>
      <c r="G3" s="78" t="s">
        <v>286</v>
      </c>
      <c r="H3" s="78" t="s">
        <v>287</v>
      </c>
      <c r="I3" s="78" t="s">
        <v>288</v>
      </c>
      <c r="J3" s="78" t="s">
        <v>289</v>
      </c>
    </row>
    <row r="4" customFormat="false" ht="109.5" hidden="false" customHeight="true" outlineLevel="0" collapsed="false">
      <c r="A4" s="79" t="s">
        <v>290</v>
      </c>
      <c r="B4" s="79" t="s">
        <v>291</v>
      </c>
      <c r="C4" s="79" t="s">
        <v>292</v>
      </c>
      <c r="D4" s="79" t="s">
        <v>293</v>
      </c>
      <c r="E4" s="79" t="s">
        <v>294</v>
      </c>
      <c r="F4" s="79" t="s">
        <v>295</v>
      </c>
      <c r="G4" s="79" t="s">
        <v>296</v>
      </c>
      <c r="H4" s="79" t="s">
        <v>297</v>
      </c>
      <c r="I4" s="79" t="s">
        <v>298</v>
      </c>
      <c r="J4" s="79" t="s">
        <v>299</v>
      </c>
    </row>
    <row r="5" customFormat="false" ht="109.5" hidden="false" customHeight="true" outlineLevel="0" collapsed="false">
      <c r="A5" s="79" t="s">
        <v>300</v>
      </c>
      <c r="B5" s="79" t="s">
        <v>301</v>
      </c>
      <c r="C5" s="79" t="s">
        <v>302</v>
      </c>
      <c r="D5" s="79" t="s">
        <v>303</v>
      </c>
      <c r="E5" s="79" t="s">
        <v>304</v>
      </c>
      <c r="F5" s="79" t="s">
        <v>305</v>
      </c>
      <c r="G5" s="79" t="s">
        <v>306</v>
      </c>
      <c r="H5" s="79" t="s">
        <v>307</v>
      </c>
      <c r="I5" s="79" t="s">
        <v>298</v>
      </c>
      <c r="J5" s="80" t="s">
        <v>308</v>
      </c>
    </row>
    <row r="6" customFormat="false" ht="109.5" hidden="false" customHeight="true" outlineLevel="0" collapsed="false">
      <c r="A6" s="79" t="s">
        <v>309</v>
      </c>
      <c r="B6" s="79" t="s">
        <v>310</v>
      </c>
      <c r="C6" s="79" t="s">
        <v>311</v>
      </c>
      <c r="D6" s="79" t="s">
        <v>312</v>
      </c>
      <c r="E6" s="79" t="s">
        <v>313</v>
      </c>
      <c r="F6" s="79" t="s">
        <v>314</v>
      </c>
      <c r="G6" s="79" t="s">
        <v>315</v>
      </c>
      <c r="H6" s="79" t="s">
        <v>316</v>
      </c>
      <c r="I6" s="79" t="s">
        <v>317</v>
      </c>
      <c r="J6" s="80" t="s">
        <v>318</v>
      </c>
    </row>
    <row r="7" customFormat="false" ht="109.5" hidden="false" customHeight="true" outlineLevel="0" collapsed="false">
      <c r="A7" s="79" t="s">
        <v>319</v>
      </c>
      <c r="B7" s="79" t="s">
        <v>320</v>
      </c>
      <c r="C7" s="79" t="s">
        <v>321</v>
      </c>
      <c r="D7" s="79" t="s">
        <v>322</v>
      </c>
      <c r="E7" s="79" t="s">
        <v>294</v>
      </c>
      <c r="F7" s="79" t="s">
        <v>323</v>
      </c>
      <c r="G7" s="79" t="s">
        <v>324</v>
      </c>
      <c r="H7" s="79" t="s">
        <v>325</v>
      </c>
      <c r="I7" s="79" t="s">
        <v>298</v>
      </c>
      <c r="J7" s="79" t="s">
        <v>326</v>
      </c>
    </row>
    <row r="8" customFormat="false" ht="109.5" hidden="false" customHeight="true" outlineLevel="0" collapsed="false">
      <c r="A8" s="79" t="s">
        <v>327</v>
      </c>
      <c r="B8" s="79" t="s">
        <v>328</v>
      </c>
      <c r="C8" s="79" t="s">
        <v>329</v>
      </c>
      <c r="D8" s="79" t="s">
        <v>330</v>
      </c>
      <c r="E8" s="79" t="s">
        <v>294</v>
      </c>
      <c r="F8" s="79" t="s">
        <v>331</v>
      </c>
      <c r="G8" s="79" t="s">
        <v>332</v>
      </c>
      <c r="H8" s="79" t="s">
        <v>333</v>
      </c>
      <c r="I8" s="79" t="s">
        <v>40</v>
      </c>
      <c r="J8" s="79" t="s">
        <v>334</v>
      </c>
    </row>
    <row r="9" customFormat="false" ht="109.5" hidden="false" customHeight="true" outlineLevel="0" collapsed="false">
      <c r="A9" s="79" t="s">
        <v>335</v>
      </c>
      <c r="B9" s="79" t="s">
        <v>336</v>
      </c>
      <c r="C9" s="79" t="s">
        <v>337</v>
      </c>
      <c r="D9" s="79" t="s">
        <v>312</v>
      </c>
      <c r="E9" s="79" t="s">
        <v>338</v>
      </c>
      <c r="F9" s="79" t="s">
        <v>339</v>
      </c>
      <c r="G9" s="79" t="s">
        <v>340</v>
      </c>
      <c r="H9" s="79" t="s">
        <v>341</v>
      </c>
      <c r="I9" s="79" t="s">
        <v>317</v>
      </c>
      <c r="J9" s="79" t="s">
        <v>342</v>
      </c>
    </row>
    <row r="10" customFormat="false" ht="109.5" hidden="false" customHeight="true" outlineLevel="0" collapsed="false">
      <c r="A10" s="79" t="s">
        <v>343</v>
      </c>
      <c r="B10" s="79" t="s">
        <v>344</v>
      </c>
      <c r="C10" s="79" t="s">
        <v>345</v>
      </c>
      <c r="D10" s="79" t="s">
        <v>346</v>
      </c>
      <c r="E10" s="79" t="s">
        <v>346</v>
      </c>
      <c r="F10" s="79" t="s">
        <v>347</v>
      </c>
      <c r="G10" s="79" t="s">
        <v>348</v>
      </c>
      <c r="H10" s="79" t="s">
        <v>349</v>
      </c>
      <c r="I10" s="79" t="s">
        <v>40</v>
      </c>
      <c r="J10" s="79" t="s">
        <v>350</v>
      </c>
    </row>
    <row r="11" customFormat="false" ht="109.5" hidden="false" customHeight="true" outlineLevel="0" collapsed="false">
      <c r="A11" s="79" t="s">
        <v>351</v>
      </c>
      <c r="B11" s="79" t="s">
        <v>352</v>
      </c>
      <c r="C11" s="79" t="s">
        <v>353</v>
      </c>
      <c r="D11" s="79" t="s">
        <v>354</v>
      </c>
      <c r="E11" s="79" t="s">
        <v>294</v>
      </c>
      <c r="F11" s="79" t="s">
        <v>355</v>
      </c>
      <c r="G11" s="79" t="s">
        <v>356</v>
      </c>
      <c r="H11" s="79" t="s">
        <v>357</v>
      </c>
      <c r="I11" s="79" t="s">
        <v>40</v>
      </c>
      <c r="J11" s="80" t="s">
        <v>358</v>
      </c>
    </row>
    <row r="12" customFormat="false" ht="109.5" hidden="false" customHeight="true" outlineLevel="0" collapsed="false">
      <c r="A12" s="79" t="s">
        <v>359</v>
      </c>
      <c r="B12" s="79" t="s">
        <v>184</v>
      </c>
      <c r="C12" s="79" t="s">
        <v>360</v>
      </c>
      <c r="D12" s="79" t="s">
        <v>312</v>
      </c>
      <c r="E12" s="79" t="s">
        <v>338</v>
      </c>
      <c r="F12" s="79" t="s">
        <v>361</v>
      </c>
      <c r="G12" s="79" t="s">
        <v>362</v>
      </c>
      <c r="H12" s="79" t="s">
        <v>363</v>
      </c>
      <c r="I12" s="79" t="s">
        <v>317</v>
      </c>
      <c r="J12" s="80" t="s">
        <v>364</v>
      </c>
    </row>
    <row r="13" customFormat="false" ht="109.5" hidden="false" customHeight="true" outlineLevel="0" collapsed="false">
      <c r="A13" s="79" t="s">
        <v>365</v>
      </c>
      <c r="B13" s="79" t="s">
        <v>366</v>
      </c>
      <c r="C13" s="79" t="s">
        <v>367</v>
      </c>
      <c r="D13" s="79" t="s">
        <v>368</v>
      </c>
      <c r="E13" s="79" t="s">
        <v>294</v>
      </c>
      <c r="F13" s="79" t="s">
        <v>369</v>
      </c>
      <c r="G13" s="79" t="s">
        <v>370</v>
      </c>
      <c r="H13" s="79" t="s">
        <v>371</v>
      </c>
      <c r="I13" s="79" t="s">
        <v>40</v>
      </c>
      <c r="J13" s="79" t="s">
        <v>372</v>
      </c>
    </row>
    <row r="14" customFormat="false" ht="109.5" hidden="false" customHeight="true" outlineLevel="0" collapsed="false">
      <c r="A14" s="79" t="s">
        <v>373</v>
      </c>
      <c r="B14" s="79" t="s">
        <v>374</v>
      </c>
      <c r="C14" s="79" t="s">
        <v>375</v>
      </c>
      <c r="D14" s="79" t="s">
        <v>312</v>
      </c>
      <c r="E14" s="79" t="s">
        <v>376</v>
      </c>
      <c r="F14" s="79" t="s">
        <v>377</v>
      </c>
      <c r="G14" s="79" t="s">
        <v>378</v>
      </c>
      <c r="H14" s="79" t="s">
        <v>379</v>
      </c>
      <c r="I14" s="79" t="s">
        <v>317</v>
      </c>
      <c r="J14" s="80" t="s">
        <v>380</v>
      </c>
    </row>
    <row r="15" customFormat="false" ht="109.5" hidden="false" customHeight="true" outlineLevel="0" collapsed="false">
      <c r="A15" s="79" t="s">
        <v>381</v>
      </c>
      <c r="B15" s="79" t="s">
        <v>382</v>
      </c>
      <c r="C15" s="79" t="s">
        <v>383</v>
      </c>
      <c r="D15" s="79" t="s">
        <v>384</v>
      </c>
      <c r="E15" s="79" t="s">
        <v>385</v>
      </c>
      <c r="F15" s="79" t="s">
        <v>386</v>
      </c>
      <c r="G15" s="79" t="s">
        <v>387</v>
      </c>
      <c r="H15" s="79" t="s">
        <v>388</v>
      </c>
      <c r="I15" s="79" t="s">
        <v>298</v>
      </c>
      <c r="J15" s="80" t="s">
        <v>389</v>
      </c>
    </row>
    <row r="16" customFormat="false" ht="109.5" hidden="false" customHeight="true" outlineLevel="0" collapsed="false">
      <c r="A16" s="79" t="s">
        <v>390</v>
      </c>
      <c r="B16" s="79" t="s">
        <v>391</v>
      </c>
      <c r="C16" s="79" t="s">
        <v>392</v>
      </c>
      <c r="D16" s="79" t="s">
        <v>393</v>
      </c>
      <c r="E16" s="79" t="s">
        <v>394</v>
      </c>
      <c r="F16" s="79" t="s">
        <v>395</v>
      </c>
      <c r="G16" s="79" t="s">
        <v>396</v>
      </c>
      <c r="H16" s="79" t="s">
        <v>397</v>
      </c>
      <c r="I16" s="79" t="s">
        <v>298</v>
      </c>
      <c r="J16" s="80" t="s">
        <v>398</v>
      </c>
    </row>
    <row r="17" customFormat="false" ht="109.5" hidden="false" customHeight="true" outlineLevel="0" collapsed="false">
      <c r="A17" s="79" t="s">
        <v>399</v>
      </c>
      <c r="B17" s="79" t="s">
        <v>400</v>
      </c>
      <c r="C17" s="79" t="s">
        <v>401</v>
      </c>
      <c r="D17" s="79" t="s">
        <v>402</v>
      </c>
      <c r="E17" s="79" t="s">
        <v>403</v>
      </c>
      <c r="F17" s="79" t="s">
        <v>404</v>
      </c>
      <c r="G17" s="79" t="s">
        <v>405</v>
      </c>
      <c r="H17" s="79" t="s">
        <v>406</v>
      </c>
      <c r="I17" s="79" t="s">
        <v>40</v>
      </c>
      <c r="J17" s="80" t="s">
        <v>407</v>
      </c>
    </row>
    <row r="18" customFormat="false" ht="109.5" hidden="false" customHeight="true" outlineLevel="0" collapsed="false">
      <c r="A18" s="79" t="s">
        <v>408</v>
      </c>
      <c r="B18" s="79" t="s">
        <v>409</v>
      </c>
      <c r="C18" s="79" t="s">
        <v>410</v>
      </c>
      <c r="D18" s="79" t="s">
        <v>411</v>
      </c>
      <c r="E18" s="79" t="s">
        <v>294</v>
      </c>
      <c r="F18" s="79" t="s">
        <v>412</v>
      </c>
      <c r="G18" s="79" t="s">
        <v>413</v>
      </c>
      <c r="H18" s="79" t="s">
        <v>414</v>
      </c>
      <c r="I18" s="79" t="s">
        <v>317</v>
      </c>
      <c r="J18" s="79" t="s">
        <v>415</v>
      </c>
    </row>
    <row r="19" customFormat="false" ht="109.5" hidden="false" customHeight="true" outlineLevel="0" collapsed="false">
      <c r="A19" s="79" t="s">
        <v>416</v>
      </c>
      <c r="B19" s="79" t="s">
        <v>417</v>
      </c>
      <c r="C19" s="79" t="s">
        <v>418</v>
      </c>
      <c r="D19" s="79" t="s">
        <v>346</v>
      </c>
      <c r="E19" s="79" t="s">
        <v>346</v>
      </c>
      <c r="F19" s="79" t="s">
        <v>419</v>
      </c>
      <c r="G19" s="79" t="s">
        <v>346</v>
      </c>
      <c r="H19" s="79" t="s">
        <v>420</v>
      </c>
      <c r="I19" s="79" t="s">
        <v>40</v>
      </c>
      <c r="J19" s="79" t="s">
        <v>350</v>
      </c>
    </row>
    <row r="20" customFormat="false" ht="109.5" hidden="false" customHeight="true" outlineLevel="0" collapsed="false">
      <c r="A20" s="79" t="s">
        <v>421</v>
      </c>
      <c r="B20" s="79" t="s">
        <v>422</v>
      </c>
      <c r="C20" s="79" t="s">
        <v>423</v>
      </c>
      <c r="D20" s="79" t="s">
        <v>424</v>
      </c>
      <c r="E20" s="79" t="s">
        <v>425</v>
      </c>
      <c r="F20" s="79" t="s">
        <v>426</v>
      </c>
      <c r="G20" s="79" t="s">
        <v>427</v>
      </c>
      <c r="H20" s="79" t="s">
        <v>428</v>
      </c>
      <c r="I20" s="79" t="s">
        <v>298</v>
      </c>
      <c r="J20" s="80" t="s">
        <v>429</v>
      </c>
    </row>
    <row r="21" customFormat="false" ht="109.5" hidden="false" customHeight="true" outlineLevel="0" collapsed="false">
      <c r="A21" s="79" t="s">
        <v>430</v>
      </c>
      <c r="B21" s="79" t="s">
        <v>431</v>
      </c>
      <c r="C21" s="79" t="s">
        <v>432</v>
      </c>
      <c r="D21" s="79" t="s">
        <v>368</v>
      </c>
      <c r="E21" s="79" t="s">
        <v>294</v>
      </c>
      <c r="F21" s="79" t="s">
        <v>433</v>
      </c>
      <c r="G21" s="79" t="s">
        <v>434</v>
      </c>
      <c r="H21" s="79" t="s">
        <v>435</v>
      </c>
      <c r="I21" s="79" t="s">
        <v>40</v>
      </c>
      <c r="J21" s="79" t="s">
        <v>436</v>
      </c>
    </row>
    <row r="22" customFormat="false" ht="109.5" hidden="false" customHeight="true" outlineLevel="0" collapsed="false">
      <c r="A22" s="79" t="s">
        <v>437</v>
      </c>
      <c r="B22" s="79" t="s">
        <v>438</v>
      </c>
      <c r="C22" s="79" t="s">
        <v>439</v>
      </c>
      <c r="D22" s="79" t="s">
        <v>440</v>
      </c>
      <c r="E22" s="79" t="s">
        <v>441</v>
      </c>
      <c r="F22" s="79" t="s">
        <v>442</v>
      </c>
      <c r="G22" s="79" t="s">
        <v>443</v>
      </c>
      <c r="H22" s="79" t="s">
        <v>444</v>
      </c>
      <c r="I22" s="79" t="s">
        <v>40</v>
      </c>
      <c r="J22" s="80" t="s">
        <v>445</v>
      </c>
    </row>
    <row r="23" customFormat="false" ht="109.5" hidden="false" customHeight="true" outlineLevel="0" collapsed="false">
      <c r="A23" s="79" t="s">
        <v>446</v>
      </c>
      <c r="B23" s="79" t="s">
        <v>447</v>
      </c>
      <c r="C23" s="79" t="s">
        <v>448</v>
      </c>
      <c r="D23" s="79" t="s">
        <v>449</v>
      </c>
      <c r="E23" s="79" t="s">
        <v>450</v>
      </c>
      <c r="F23" s="79" t="s">
        <v>451</v>
      </c>
      <c r="G23" s="79" t="s">
        <v>452</v>
      </c>
      <c r="H23" s="79" t="s">
        <v>453</v>
      </c>
      <c r="I23" s="79" t="s">
        <v>317</v>
      </c>
      <c r="J23" s="80" t="s">
        <v>454</v>
      </c>
    </row>
    <row r="24" customFormat="false" ht="109.5" hidden="false" customHeight="true" outlineLevel="0" collapsed="false">
      <c r="A24" s="79" t="s">
        <v>455</v>
      </c>
      <c r="B24" s="79" t="s">
        <v>456</v>
      </c>
      <c r="C24" s="79" t="s">
        <v>457</v>
      </c>
      <c r="D24" s="79" t="s">
        <v>458</v>
      </c>
      <c r="E24" s="79" t="s">
        <v>294</v>
      </c>
      <c r="F24" s="79" t="s">
        <v>459</v>
      </c>
      <c r="G24" s="79" t="s">
        <v>460</v>
      </c>
      <c r="H24" s="79" t="s">
        <v>461</v>
      </c>
      <c r="I24" s="79" t="s">
        <v>298</v>
      </c>
      <c r="J24" s="79" t="s">
        <v>462</v>
      </c>
    </row>
    <row r="25" customFormat="false" ht="109.5" hidden="false" customHeight="true" outlineLevel="0" collapsed="false">
      <c r="A25" s="79" t="s">
        <v>463</v>
      </c>
      <c r="B25" s="79" t="s">
        <v>464</v>
      </c>
      <c r="C25" s="79" t="s">
        <v>465</v>
      </c>
      <c r="D25" s="79" t="s">
        <v>346</v>
      </c>
      <c r="E25" s="79" t="s">
        <v>346</v>
      </c>
      <c r="F25" s="79" t="s">
        <v>466</v>
      </c>
      <c r="G25" s="79" t="s">
        <v>346</v>
      </c>
      <c r="H25" s="79" t="s">
        <v>467</v>
      </c>
      <c r="I25" s="79" t="s">
        <v>40</v>
      </c>
      <c r="J25" s="79" t="s">
        <v>350</v>
      </c>
    </row>
    <row r="26" customFormat="false" ht="109.5" hidden="false" customHeight="true" outlineLevel="0" collapsed="false">
      <c r="A26" s="79" t="s">
        <v>468</v>
      </c>
      <c r="B26" s="79" t="s">
        <v>469</v>
      </c>
      <c r="C26" s="79" t="s">
        <v>470</v>
      </c>
      <c r="D26" s="79" t="s">
        <v>471</v>
      </c>
      <c r="E26" s="79" t="s">
        <v>472</v>
      </c>
      <c r="F26" s="79" t="s">
        <v>473</v>
      </c>
      <c r="G26" s="79" t="s">
        <v>474</v>
      </c>
      <c r="H26" s="79" t="s">
        <v>475</v>
      </c>
      <c r="I26" s="79" t="s">
        <v>40</v>
      </c>
      <c r="J26" s="80" t="s">
        <v>476</v>
      </c>
    </row>
    <row r="27" customFormat="false" ht="109.5" hidden="false" customHeight="true" outlineLevel="0" collapsed="false">
      <c r="A27" s="79" t="s">
        <v>477</v>
      </c>
      <c r="B27" s="79" t="s">
        <v>478</v>
      </c>
      <c r="C27" s="79" t="s">
        <v>479</v>
      </c>
      <c r="D27" s="79" t="s">
        <v>346</v>
      </c>
      <c r="E27" s="79" t="s">
        <v>346</v>
      </c>
      <c r="F27" s="79" t="s">
        <v>480</v>
      </c>
      <c r="G27" s="79" t="s">
        <v>346</v>
      </c>
      <c r="H27" s="79" t="s">
        <v>481</v>
      </c>
      <c r="I27" s="79" t="s">
        <v>40</v>
      </c>
      <c r="J27" s="79" t="s">
        <v>350</v>
      </c>
    </row>
    <row r="28" customFormat="false" ht="109.5" hidden="false" customHeight="true" outlineLevel="0" collapsed="false">
      <c r="A28" s="79" t="s">
        <v>482</v>
      </c>
      <c r="B28" s="79" t="s">
        <v>483</v>
      </c>
      <c r="C28" s="79" t="s">
        <v>484</v>
      </c>
      <c r="D28" s="79" t="s">
        <v>346</v>
      </c>
      <c r="E28" s="79" t="s">
        <v>346</v>
      </c>
      <c r="F28" s="79" t="s">
        <v>434</v>
      </c>
      <c r="G28" s="79" t="s">
        <v>346</v>
      </c>
      <c r="H28" s="79" t="s">
        <v>346</v>
      </c>
      <c r="I28" s="79" t="s">
        <v>40</v>
      </c>
      <c r="J28" s="79" t="s">
        <v>350</v>
      </c>
    </row>
  </sheetData>
  <autoFilter ref="A3:J28"/>
  <mergeCells count="2">
    <mergeCell ref="A1:J1"/>
    <mergeCell ref="A2:J2"/>
  </mergeCells>
  <hyperlinks>
    <hyperlink ref="J5" r:id="rId1" display="https://www.i4ce.org/wp-content/uploads/I4CE_BonusMalusAutomobiles-2.pdf"/>
    <hyperlink ref="J6" r:id="rId2" display="https://www.hellowatt.fr/blog/cour-comptes-cee/ (synthèse du rapport Cour des comptes)"/>
    <hyperlink ref="J11" r:id="rId3" display="https://www.les-energies-renouvelables.eu/article/actualites/reglementations/126-030-proprietaires-ont-decroche-un-eco-pret-a-taux-zero-en-2025-un-record-porte-par-trois-banques-seulement-1378/"/>
    <hyperlink ref="J12" r:id="rId4" display="https://www.linfodurable.fr/finance-durable/prets-verts-publics-un-bilan-satisfaisant-selon-la-cour-des-comptes-55834"/>
    <hyperlink ref="J14" r:id="rId5" display="https://www.connaissancedesenergies.org/afp/la-cour-des-comptes-appelle-mieux-maitriser-les-dispositifs-de-soutien-aux-energies-renouvelables-260317"/>
    <hyperlink ref="J15" r:id="rId6" display="https://cleanenergywire.org/news/industry-shows-big-interest-german-governments-climate-protection-contracts"/>
    <hyperlink ref="J16" r:id="rId7" display="https://www.senat.fr/rap/r21-773/r21-7731.html"/>
    <hyperlink ref="J17" r:id="rId8" display="https://uploads.transportenvironment.org/production/files/2024_10_Recommandations-leasing-social.pdf"/>
    <hyperlink ref="J20" r:id="rId9" display="https://www.i4ce.org/wp-content/uploads/2025/06/Le-Label-bas-carbone-quel-bilan-apres-6-ans-dexistence_V2.pdf"/>
    <hyperlink ref="J22" r:id="rId10" display="https://www.insee.fr/fr/statistiques/7728889"/>
    <hyperlink ref="J23" r:id="rId11" display="https://www.banquedesterritoires.fr/eco-organismes-des-resultats-trop-inegaux-et-une-regulation-renforcer-selon-la-cour-des-comptes"/>
    <hyperlink ref="J26" r:id="rId12" display="https://www.senat.fr/questions/base/2025/qSEQ250605009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25.5" hidden="false" customHeight="true" outlineLevel="0" collapsed="false">
      <c r="A1" s="76" t="s">
        <v>485</v>
      </c>
      <c r="B1" s="76"/>
      <c r="C1" s="76"/>
      <c r="D1" s="76"/>
      <c r="E1" s="76"/>
      <c r="F1" s="76"/>
      <c r="G1" s="76"/>
    </row>
    <row r="2" customFormat="false" ht="30" hidden="false" customHeight="true" outlineLevel="0" collapsed="false">
      <c r="A2" s="77" t="s">
        <v>486</v>
      </c>
      <c r="B2" s="77"/>
      <c r="C2" s="77"/>
      <c r="D2" s="77"/>
      <c r="E2" s="77"/>
      <c r="F2" s="77"/>
      <c r="G2" s="77"/>
    </row>
    <row r="3" customFormat="false" ht="30" hidden="false" customHeight="true" outlineLevel="0" collapsed="false">
      <c r="A3" s="78" t="s">
        <v>281</v>
      </c>
      <c r="B3" s="78" t="s">
        <v>487</v>
      </c>
      <c r="C3" s="78" t="s">
        <v>488</v>
      </c>
      <c r="D3" s="78" t="s">
        <v>489</v>
      </c>
      <c r="E3" s="78" t="s">
        <v>490</v>
      </c>
      <c r="F3" s="78" t="s">
        <v>491</v>
      </c>
      <c r="G3" s="78" t="s">
        <v>289</v>
      </c>
    </row>
    <row r="4" customFormat="false" ht="30" hidden="false" customHeight="true" outlineLevel="0" collapsed="false">
      <c r="A4" s="79" t="s">
        <v>492</v>
      </c>
      <c r="B4" s="79" t="s">
        <v>493</v>
      </c>
      <c r="C4" s="81" t="n">
        <v>102</v>
      </c>
      <c r="D4" s="79" t="s">
        <v>494</v>
      </c>
      <c r="E4" s="79" t="s">
        <v>495</v>
      </c>
      <c r="F4" s="79" t="s">
        <v>496</v>
      </c>
      <c r="G4" s="79" t="s">
        <v>497</v>
      </c>
    </row>
    <row r="5" customFormat="false" ht="30" hidden="false" customHeight="true" outlineLevel="0" collapsed="false">
      <c r="A5" s="79" t="s">
        <v>498</v>
      </c>
      <c r="B5" s="79" t="s">
        <v>499</v>
      </c>
      <c r="C5" s="81" t="n">
        <v>68.5</v>
      </c>
      <c r="D5" s="79" t="s">
        <v>494</v>
      </c>
      <c r="E5" s="79" t="s">
        <v>500</v>
      </c>
      <c r="F5" s="79" t="s">
        <v>496</v>
      </c>
      <c r="G5" s="79" t="s">
        <v>501</v>
      </c>
    </row>
    <row r="6" customFormat="false" ht="30" hidden="false" customHeight="true" outlineLevel="0" collapsed="false">
      <c r="A6" s="79" t="s">
        <v>502</v>
      </c>
      <c r="B6" s="79" t="s">
        <v>503</v>
      </c>
      <c r="C6" s="81" t="n">
        <v>81.5</v>
      </c>
      <c r="D6" s="79" t="s">
        <v>504</v>
      </c>
      <c r="E6" s="79" t="s">
        <v>500</v>
      </c>
      <c r="F6" s="79" t="s">
        <v>496</v>
      </c>
      <c r="G6" s="79" t="s">
        <v>501</v>
      </c>
    </row>
    <row r="7" customFormat="false" ht="30" hidden="false" customHeight="true" outlineLevel="0" collapsed="false">
      <c r="A7" s="79" t="s">
        <v>505</v>
      </c>
      <c r="B7" s="79" t="s">
        <v>506</v>
      </c>
      <c r="C7" s="82" t="n">
        <f aca="false">C5+C6</f>
        <v>150</v>
      </c>
      <c r="D7" s="79" t="s">
        <v>504</v>
      </c>
      <c r="E7" s="79" t="s">
        <v>507</v>
      </c>
      <c r="F7" s="79" t="s">
        <v>496</v>
      </c>
      <c r="G7" s="79" t="s">
        <v>508</v>
      </c>
    </row>
    <row r="8" customFormat="false" ht="30" hidden="false" customHeight="true" outlineLevel="0" collapsed="false">
      <c r="A8" s="79" t="s">
        <v>509</v>
      </c>
      <c r="B8" s="79" t="s">
        <v>510</v>
      </c>
      <c r="C8" s="81" t="n">
        <v>102.5</v>
      </c>
      <c r="D8" s="79" t="s">
        <v>494</v>
      </c>
      <c r="E8" s="79" t="s">
        <v>511</v>
      </c>
      <c r="F8" s="79" t="s">
        <v>512</v>
      </c>
      <c r="G8" s="79" t="s">
        <v>513</v>
      </c>
    </row>
    <row r="9" customFormat="false" ht="30" hidden="false" customHeight="true" outlineLevel="0" collapsed="false">
      <c r="A9" s="79" t="s">
        <v>514</v>
      </c>
      <c r="B9" s="79" t="s">
        <v>515</v>
      </c>
      <c r="C9" s="81" t="n">
        <v>37</v>
      </c>
      <c r="D9" s="79" t="s">
        <v>504</v>
      </c>
      <c r="E9" s="79" t="s">
        <v>516</v>
      </c>
      <c r="F9" s="79" t="s">
        <v>512</v>
      </c>
      <c r="G9" s="79" t="s">
        <v>513</v>
      </c>
    </row>
    <row r="10" customFormat="false" ht="30" hidden="false" customHeight="true" outlineLevel="0" collapsed="false">
      <c r="A10" s="79" t="s">
        <v>517</v>
      </c>
      <c r="B10" s="79" t="s">
        <v>518</v>
      </c>
      <c r="C10" s="83" t="n">
        <f aca="false">C9/C8</f>
        <v>0.360975609756098</v>
      </c>
      <c r="D10" s="79" t="s">
        <v>519</v>
      </c>
      <c r="E10" s="79" t="s">
        <v>520</v>
      </c>
      <c r="F10" s="79" t="s">
        <v>512</v>
      </c>
      <c r="G10" s="79" t="s">
        <v>508</v>
      </c>
    </row>
    <row r="11" customFormat="false" ht="30" hidden="false" customHeight="true" outlineLevel="0" collapsed="false">
      <c r="A11" s="79" t="s">
        <v>521</v>
      </c>
      <c r="B11" s="79" t="s">
        <v>522</v>
      </c>
      <c r="C11" s="84" t="n">
        <v>0.199</v>
      </c>
      <c r="D11" s="79" t="s">
        <v>519</v>
      </c>
      <c r="E11" s="79" t="s">
        <v>523</v>
      </c>
      <c r="F11" s="79" t="s">
        <v>524</v>
      </c>
      <c r="G11" s="79" t="s">
        <v>525</v>
      </c>
    </row>
    <row r="12" customFormat="false" ht="30" hidden="false" customHeight="true" outlineLevel="0" collapsed="false">
      <c r="A12" s="79" t="s">
        <v>526</v>
      </c>
      <c r="B12" s="79" t="s">
        <v>527</v>
      </c>
      <c r="C12" s="83" t="n">
        <f aca="false">1-C11</f>
        <v>0.801</v>
      </c>
      <c r="D12" s="79" t="s">
        <v>519</v>
      </c>
      <c r="E12" s="79" t="s">
        <v>528</v>
      </c>
      <c r="F12" s="79" t="s">
        <v>524</v>
      </c>
      <c r="G12" s="79" t="s">
        <v>508</v>
      </c>
    </row>
    <row r="13" customFormat="false" ht="30" hidden="false" customHeight="true" outlineLevel="0" collapsed="false">
      <c r="A13" s="79" t="s">
        <v>529</v>
      </c>
      <c r="B13" s="79" t="s">
        <v>530</v>
      </c>
      <c r="C13" s="81" t="n">
        <v>43.9</v>
      </c>
      <c r="D13" s="79" t="s">
        <v>531</v>
      </c>
      <c r="E13" s="79" t="s">
        <v>532</v>
      </c>
      <c r="F13" s="79" t="s">
        <v>533</v>
      </c>
      <c r="G13" s="79" t="s">
        <v>534</v>
      </c>
    </row>
    <row r="14" customFormat="false" ht="30" hidden="false" customHeight="true" outlineLevel="0" collapsed="false">
      <c r="A14" s="79" t="s">
        <v>535</v>
      </c>
      <c r="B14" s="79" t="s">
        <v>536</v>
      </c>
      <c r="C14" s="81" t="n">
        <v>13.2</v>
      </c>
      <c r="D14" s="79" t="s">
        <v>531</v>
      </c>
      <c r="E14" s="79" t="s">
        <v>532</v>
      </c>
      <c r="F14" s="79" t="s">
        <v>533</v>
      </c>
      <c r="G14" s="79" t="s">
        <v>534</v>
      </c>
    </row>
    <row r="15" customFormat="false" ht="30" hidden="false" customHeight="true" outlineLevel="0" collapsed="false">
      <c r="A15" s="79" t="s">
        <v>537</v>
      </c>
      <c r="B15" s="79" t="s">
        <v>538</v>
      </c>
      <c r="C15" s="82" t="n">
        <f aca="false">C13+C14</f>
        <v>57.1</v>
      </c>
      <c r="D15" s="79" t="s">
        <v>531</v>
      </c>
      <c r="E15" s="79" t="s">
        <v>539</v>
      </c>
      <c r="F15" s="79" t="s">
        <v>533</v>
      </c>
      <c r="G15" s="79" t="s">
        <v>508</v>
      </c>
    </row>
    <row r="16" customFormat="false" ht="30" hidden="false" customHeight="true" outlineLevel="0" collapsed="false">
      <c r="A16" s="79" t="s">
        <v>540</v>
      </c>
      <c r="B16" s="79" t="s">
        <v>541</v>
      </c>
      <c r="C16" s="84" t="n">
        <v>0.18</v>
      </c>
      <c r="D16" s="79" t="s">
        <v>542</v>
      </c>
      <c r="E16" s="79" t="s">
        <v>543</v>
      </c>
      <c r="F16" s="79" t="s">
        <v>544</v>
      </c>
      <c r="G16" s="79" t="s">
        <v>545</v>
      </c>
    </row>
    <row r="17" customFormat="false" ht="30" hidden="false" customHeight="true" outlineLevel="0" collapsed="false">
      <c r="A17" s="79" t="s">
        <v>546</v>
      </c>
      <c r="B17" s="79" t="s">
        <v>547</v>
      </c>
      <c r="C17" s="84" t="n">
        <v>0.7</v>
      </c>
      <c r="D17" s="79" t="s">
        <v>548</v>
      </c>
      <c r="E17" s="79" t="s">
        <v>549</v>
      </c>
      <c r="F17" s="79" t="s">
        <v>550</v>
      </c>
      <c r="G17" s="79" t="s">
        <v>551</v>
      </c>
    </row>
    <row r="18" customFormat="false" ht="30" hidden="false" customHeight="true" outlineLevel="0" collapsed="false">
      <c r="A18" s="79" t="s">
        <v>552</v>
      </c>
      <c r="B18" s="79" t="s">
        <v>553</v>
      </c>
      <c r="C18" s="84" t="n">
        <v>0.11</v>
      </c>
      <c r="D18" s="79" t="s">
        <v>554</v>
      </c>
      <c r="E18" s="79" t="s">
        <v>555</v>
      </c>
      <c r="F18" s="79" t="s">
        <v>550</v>
      </c>
      <c r="G18" s="79" t="s">
        <v>551</v>
      </c>
    </row>
    <row r="19" customFormat="false" ht="30" hidden="false" customHeight="true" outlineLevel="0" collapsed="false">
      <c r="A19" s="79" t="s">
        <v>556</v>
      </c>
      <c r="B19" s="79" t="s">
        <v>557</v>
      </c>
      <c r="C19" s="85" t="n">
        <v>7000</v>
      </c>
      <c r="D19" s="79" t="s">
        <v>558</v>
      </c>
      <c r="E19" s="79" t="s">
        <v>559</v>
      </c>
      <c r="F19" s="79" t="s">
        <v>544</v>
      </c>
      <c r="G19" s="79" t="s">
        <v>551</v>
      </c>
    </row>
    <row r="20" customFormat="false" ht="30" hidden="false" customHeight="true" outlineLevel="0" collapsed="false">
      <c r="A20" s="79" t="s">
        <v>560</v>
      </c>
      <c r="B20" s="79" t="s">
        <v>561</v>
      </c>
      <c r="C20" s="85" t="n">
        <v>17000</v>
      </c>
      <c r="D20" s="79" t="s">
        <v>558</v>
      </c>
      <c r="E20" s="79" t="s">
        <v>562</v>
      </c>
      <c r="F20" s="79" t="s">
        <v>544</v>
      </c>
      <c r="G20" s="79" t="s">
        <v>551</v>
      </c>
    </row>
    <row r="21" customFormat="false" ht="30" hidden="false" customHeight="true" outlineLevel="0" collapsed="false">
      <c r="A21" s="79" t="s">
        <v>563</v>
      </c>
      <c r="B21" s="79" t="s">
        <v>564</v>
      </c>
      <c r="C21" s="84" t="n">
        <v>0.17</v>
      </c>
      <c r="D21" s="79" t="s">
        <v>519</v>
      </c>
      <c r="E21" s="79" t="s">
        <v>565</v>
      </c>
      <c r="F21" s="79" t="s">
        <v>550</v>
      </c>
      <c r="G21" s="79" t="s">
        <v>566</v>
      </c>
    </row>
    <row r="22" customFormat="false" ht="30" hidden="false" customHeight="true" outlineLevel="0" collapsed="false">
      <c r="A22" s="79" t="s">
        <v>567</v>
      </c>
      <c r="B22" s="79" t="s">
        <v>568</v>
      </c>
      <c r="C22" s="84" t="n">
        <v>0.6</v>
      </c>
      <c r="D22" s="79" t="s">
        <v>519</v>
      </c>
      <c r="E22" s="79" t="s">
        <v>569</v>
      </c>
      <c r="F22" s="79" t="s">
        <v>550</v>
      </c>
      <c r="G22" s="79" t="s">
        <v>570</v>
      </c>
    </row>
    <row r="23" customFormat="false" ht="30" hidden="false" customHeight="true" outlineLevel="0" collapsed="false">
      <c r="A23" s="79" t="s">
        <v>571</v>
      </c>
      <c r="B23" s="79" t="s">
        <v>572</v>
      </c>
      <c r="C23" s="84" t="n">
        <v>0.67</v>
      </c>
      <c r="D23" s="79" t="s">
        <v>519</v>
      </c>
      <c r="E23" s="79" t="s">
        <v>573</v>
      </c>
      <c r="F23" s="79" t="s">
        <v>550</v>
      </c>
      <c r="G23" s="79" t="s">
        <v>570</v>
      </c>
    </row>
    <row r="24" customFormat="false" ht="30" hidden="false" customHeight="true" outlineLevel="0" collapsed="false">
      <c r="A24" s="79" t="s">
        <v>574</v>
      </c>
      <c r="B24" s="79" t="s">
        <v>575</v>
      </c>
      <c r="C24" s="84" t="n">
        <v>0.04</v>
      </c>
      <c r="D24" s="79" t="s">
        <v>519</v>
      </c>
      <c r="E24" s="79" t="s">
        <v>576</v>
      </c>
      <c r="F24" s="79" t="s">
        <v>550</v>
      </c>
      <c r="G24" s="79" t="s">
        <v>570</v>
      </c>
    </row>
    <row r="25" customFormat="false" ht="30" hidden="false" customHeight="true" outlineLevel="0" collapsed="false">
      <c r="A25" s="79" t="s">
        <v>577</v>
      </c>
      <c r="B25" s="79" t="s">
        <v>578</v>
      </c>
      <c r="C25" s="84" t="n">
        <v>0.21</v>
      </c>
      <c r="D25" s="79" t="s">
        <v>519</v>
      </c>
      <c r="E25" s="79" t="s">
        <v>562</v>
      </c>
      <c r="F25" s="79" t="s">
        <v>550</v>
      </c>
      <c r="G25" s="79" t="s">
        <v>570</v>
      </c>
    </row>
    <row r="26" customFormat="false" ht="30" hidden="false" customHeight="true" outlineLevel="0" collapsed="false">
      <c r="A26" s="79" t="s">
        <v>579</v>
      </c>
      <c r="B26" s="79" t="s">
        <v>580</v>
      </c>
      <c r="C26" s="84" t="n">
        <v>0.02</v>
      </c>
      <c r="D26" s="79" t="s">
        <v>581</v>
      </c>
      <c r="E26" s="79" t="s">
        <v>582</v>
      </c>
      <c r="F26" s="79" t="s">
        <v>550</v>
      </c>
      <c r="G26" s="79" t="s">
        <v>570</v>
      </c>
    </row>
    <row r="27" customFormat="false" ht="30" hidden="false" customHeight="true" outlineLevel="0" collapsed="false">
      <c r="A27" s="79" t="s">
        <v>583</v>
      </c>
      <c r="B27" s="79" t="s">
        <v>584</v>
      </c>
      <c r="C27" s="81" t="n">
        <v>9</v>
      </c>
      <c r="D27" s="79" t="s">
        <v>531</v>
      </c>
      <c r="E27" s="79" t="s">
        <v>585</v>
      </c>
      <c r="F27" s="79" t="s">
        <v>496</v>
      </c>
      <c r="G27" s="79" t="s">
        <v>570</v>
      </c>
    </row>
    <row r="28" customFormat="false" ht="30" hidden="false" customHeight="true" outlineLevel="0" collapsed="false">
      <c r="A28" s="79" t="s">
        <v>586</v>
      </c>
      <c r="B28" s="79" t="s">
        <v>587</v>
      </c>
      <c r="C28" s="81" t="n">
        <v>15</v>
      </c>
      <c r="D28" s="79" t="s">
        <v>588</v>
      </c>
      <c r="E28" s="79" t="s">
        <v>589</v>
      </c>
      <c r="F28" s="79" t="s">
        <v>590</v>
      </c>
      <c r="G28" s="79" t="s">
        <v>591</v>
      </c>
    </row>
    <row r="29" customFormat="false" ht="30" hidden="false" customHeight="true" outlineLevel="0" collapsed="false">
      <c r="A29" s="79" t="s">
        <v>592</v>
      </c>
      <c r="B29" s="79" t="s">
        <v>593</v>
      </c>
      <c r="C29" s="81" t="n">
        <v>200</v>
      </c>
      <c r="D29" s="79" t="s">
        <v>594</v>
      </c>
      <c r="E29" s="79" t="s">
        <v>595</v>
      </c>
      <c r="F29" s="79" t="s">
        <v>533</v>
      </c>
      <c r="G29" s="79" t="s">
        <v>596</v>
      </c>
    </row>
    <row r="30" customFormat="false" ht="30" hidden="false" customHeight="true" outlineLevel="0" collapsed="false">
      <c r="A30" s="79" t="s">
        <v>597</v>
      </c>
      <c r="B30" s="79" t="s">
        <v>598</v>
      </c>
      <c r="C30" s="85" t="n">
        <v>100000</v>
      </c>
      <c r="D30" s="79" t="s">
        <v>599</v>
      </c>
      <c r="E30" s="79" t="s">
        <v>600</v>
      </c>
      <c r="F30" s="79" t="s">
        <v>601</v>
      </c>
      <c r="G30" s="79" t="s">
        <v>602</v>
      </c>
    </row>
    <row r="31" customFormat="false" ht="30" hidden="false" customHeight="true" outlineLevel="0" collapsed="false">
      <c r="A31" s="79" t="s">
        <v>603</v>
      </c>
      <c r="B31" s="79" t="s">
        <v>604</v>
      </c>
      <c r="C31" s="85" t="n">
        <v>12000</v>
      </c>
      <c r="D31" s="79" t="s">
        <v>605</v>
      </c>
      <c r="E31" s="79" t="s">
        <v>606</v>
      </c>
      <c r="F31" s="79" t="s">
        <v>590</v>
      </c>
      <c r="G31" s="79" t="s">
        <v>602</v>
      </c>
    </row>
    <row r="32" customFormat="false" ht="30" hidden="false" customHeight="true" outlineLevel="0" collapsed="false">
      <c r="A32" s="79" t="s">
        <v>607</v>
      </c>
      <c r="B32" s="79" t="s">
        <v>608</v>
      </c>
      <c r="C32" s="85" t="n">
        <v>3500</v>
      </c>
      <c r="D32" s="79" t="s">
        <v>609</v>
      </c>
      <c r="E32" s="79" t="s">
        <v>610</v>
      </c>
      <c r="F32" s="79" t="s">
        <v>533</v>
      </c>
      <c r="G32" s="79" t="s">
        <v>602</v>
      </c>
    </row>
    <row r="33" customFormat="false" ht="30" hidden="false" customHeight="true" outlineLevel="0" collapsed="false">
      <c r="A33" s="79" t="s">
        <v>611</v>
      </c>
      <c r="B33" s="79" t="s">
        <v>612</v>
      </c>
      <c r="C33" s="85" t="n">
        <v>7700</v>
      </c>
      <c r="D33" s="79" t="s">
        <v>609</v>
      </c>
      <c r="E33" s="79" t="s">
        <v>613</v>
      </c>
      <c r="F33" s="79" t="s">
        <v>533</v>
      </c>
      <c r="G33" s="79" t="s">
        <v>602</v>
      </c>
    </row>
    <row r="34" customFormat="false" ht="30" hidden="false" customHeight="true" outlineLevel="0" collapsed="false">
      <c r="A34" s="79" t="s">
        <v>614</v>
      </c>
      <c r="B34" s="79" t="s">
        <v>615</v>
      </c>
      <c r="C34" s="85" t="n">
        <v>33755</v>
      </c>
      <c r="D34" s="79" t="s">
        <v>616</v>
      </c>
      <c r="E34" s="79" t="s">
        <v>617</v>
      </c>
      <c r="F34" s="79" t="s">
        <v>544</v>
      </c>
      <c r="G34" s="79" t="s">
        <v>618</v>
      </c>
    </row>
    <row r="35" customFormat="false" ht="30" hidden="false" customHeight="true" outlineLevel="0" collapsed="false">
      <c r="A35" s="79" t="s">
        <v>619</v>
      </c>
      <c r="B35" s="79" t="s">
        <v>620</v>
      </c>
      <c r="C35" s="85" t="n">
        <v>42023</v>
      </c>
      <c r="D35" s="79" t="s">
        <v>616</v>
      </c>
      <c r="E35" s="79" t="s">
        <v>562</v>
      </c>
      <c r="F35" s="79" t="s">
        <v>544</v>
      </c>
      <c r="G35" s="79" t="s">
        <v>618</v>
      </c>
    </row>
    <row r="36" customFormat="false" ht="30" hidden="false" customHeight="true" outlineLevel="0" collapsed="false">
      <c r="A36" s="79" t="s">
        <v>621</v>
      </c>
      <c r="B36" s="79" t="s">
        <v>622</v>
      </c>
      <c r="C36" s="83" t="n">
        <f aca="false">(C35-C34)/C34</f>
        <v>0.244941490149607</v>
      </c>
      <c r="D36" s="79" t="s">
        <v>519</v>
      </c>
      <c r="E36" s="79" t="s">
        <v>623</v>
      </c>
      <c r="F36" s="79" t="s">
        <v>544</v>
      </c>
      <c r="G36" s="79" t="s">
        <v>508</v>
      </c>
    </row>
    <row r="37" customFormat="false" ht="30" hidden="false" customHeight="true" outlineLevel="0" collapsed="false">
      <c r="A37" s="79" t="s">
        <v>624</v>
      </c>
      <c r="B37" s="79" t="s">
        <v>625</v>
      </c>
      <c r="C37" s="85" t="n">
        <v>100000</v>
      </c>
      <c r="D37" s="79" t="s">
        <v>626</v>
      </c>
      <c r="E37" s="79" t="s">
        <v>627</v>
      </c>
      <c r="F37" s="79" t="s">
        <v>533</v>
      </c>
      <c r="G37" s="79" t="s">
        <v>602</v>
      </c>
    </row>
    <row r="38" customFormat="false" ht="30" hidden="false" customHeight="true" outlineLevel="0" collapsed="false">
      <c r="A38" s="79" t="s">
        <v>628</v>
      </c>
      <c r="B38" s="79" t="s">
        <v>629</v>
      </c>
      <c r="C38" s="81" t="n">
        <v>20</v>
      </c>
      <c r="D38" s="79" t="s">
        <v>630</v>
      </c>
      <c r="E38" s="79" t="s">
        <v>631</v>
      </c>
      <c r="F38" s="79" t="s">
        <v>632</v>
      </c>
      <c r="G38" s="79" t="s">
        <v>633</v>
      </c>
    </row>
    <row r="39" customFormat="false" ht="30" hidden="false" customHeight="true" outlineLevel="0" collapsed="false">
      <c r="A39" s="79" t="s">
        <v>634</v>
      </c>
      <c r="B39" s="79" t="s">
        <v>635</v>
      </c>
      <c r="C39" s="84" t="n">
        <v>0.055</v>
      </c>
      <c r="D39" s="79" t="s">
        <v>519</v>
      </c>
      <c r="E39" s="79" t="s">
        <v>636</v>
      </c>
      <c r="F39" s="79" t="s">
        <v>637</v>
      </c>
      <c r="G39" s="79" t="s">
        <v>551</v>
      </c>
    </row>
    <row r="40" customFormat="false" ht="30" hidden="false" customHeight="true" outlineLevel="0" collapsed="false">
      <c r="A40" s="79" t="s">
        <v>638</v>
      </c>
      <c r="B40" s="79" t="s">
        <v>639</v>
      </c>
      <c r="C40" s="85" t="n">
        <v>4021</v>
      </c>
      <c r="D40" s="79" t="s">
        <v>640</v>
      </c>
      <c r="E40" s="79" t="s">
        <v>641</v>
      </c>
      <c r="F40" s="79" t="s">
        <v>512</v>
      </c>
      <c r="G40" s="79" t="s">
        <v>642</v>
      </c>
    </row>
    <row r="41" customFormat="false" ht="30" hidden="false" customHeight="true" outlineLevel="0" collapsed="false">
      <c r="A41" s="79" t="s">
        <v>643</v>
      </c>
      <c r="B41" s="79" t="s">
        <v>644</v>
      </c>
      <c r="C41" s="81" t="n">
        <v>277</v>
      </c>
      <c r="D41" s="79" t="s">
        <v>640</v>
      </c>
      <c r="E41" s="79" t="s">
        <v>645</v>
      </c>
      <c r="F41" s="79" t="s">
        <v>512</v>
      </c>
      <c r="G41" s="79" t="s">
        <v>642</v>
      </c>
    </row>
    <row r="42" customFormat="false" ht="30" hidden="false" customHeight="true" outlineLevel="0" collapsed="false">
      <c r="A42" s="79" t="s">
        <v>646</v>
      </c>
      <c r="B42" s="79" t="s">
        <v>647</v>
      </c>
      <c r="C42" s="81" t="n">
        <v>18</v>
      </c>
      <c r="D42" s="79" t="s">
        <v>640</v>
      </c>
      <c r="E42" s="79" t="s">
        <v>648</v>
      </c>
      <c r="F42" s="79" t="s">
        <v>512</v>
      </c>
      <c r="G42" s="79" t="s">
        <v>642</v>
      </c>
    </row>
    <row r="43" customFormat="false" ht="30" hidden="false" customHeight="true" outlineLevel="0" collapsed="false">
      <c r="A43" s="79" t="s">
        <v>649</v>
      </c>
      <c r="B43" s="79" t="s">
        <v>650</v>
      </c>
      <c r="C43" s="86" t="n">
        <f aca="false">C40/C41</f>
        <v>14.5162454873646</v>
      </c>
      <c r="D43" s="79" t="s">
        <v>651</v>
      </c>
      <c r="E43" s="79" t="s">
        <v>652</v>
      </c>
      <c r="F43" s="79" t="s">
        <v>512</v>
      </c>
      <c r="G43" s="79" t="s">
        <v>508</v>
      </c>
    </row>
    <row r="44" customFormat="false" ht="30" hidden="false" customHeight="true" outlineLevel="0" collapsed="false">
      <c r="A44" s="79" t="s">
        <v>653</v>
      </c>
      <c r="B44" s="79" t="s">
        <v>654</v>
      </c>
      <c r="C44" s="85" t="n">
        <v>1000</v>
      </c>
      <c r="D44" s="79" t="s">
        <v>655</v>
      </c>
      <c r="E44" s="79" t="s">
        <v>656</v>
      </c>
      <c r="F44" s="79" t="s">
        <v>533</v>
      </c>
      <c r="G44" s="79" t="s">
        <v>657</v>
      </c>
    </row>
    <row r="45" customFormat="false" ht="30" hidden="false" customHeight="true" outlineLevel="0" collapsed="false">
      <c r="A45" s="79" t="s">
        <v>658</v>
      </c>
      <c r="B45" s="79" t="s">
        <v>659</v>
      </c>
      <c r="C45" s="81" t="n">
        <v>9.7</v>
      </c>
      <c r="D45" s="79" t="s">
        <v>660</v>
      </c>
      <c r="E45" s="79" t="s">
        <v>661</v>
      </c>
      <c r="F45" s="79" t="s">
        <v>662</v>
      </c>
      <c r="G45" s="79" t="s">
        <v>663</v>
      </c>
    </row>
    <row r="46" customFormat="false" ht="30" hidden="false" customHeight="true" outlineLevel="0" collapsed="false">
      <c r="A46" s="79" t="s">
        <v>664</v>
      </c>
      <c r="B46" s="79" t="s">
        <v>665</v>
      </c>
      <c r="C46" s="81" t="n">
        <v>1.8</v>
      </c>
      <c r="D46" s="79" t="s">
        <v>666</v>
      </c>
      <c r="E46" s="79" t="s">
        <v>667</v>
      </c>
      <c r="F46" s="79" t="s">
        <v>662</v>
      </c>
      <c r="G46" s="79" t="s">
        <v>534</v>
      </c>
    </row>
    <row r="47" customFormat="false" ht="30" hidden="false" customHeight="true" outlineLevel="0" collapsed="false">
      <c r="A47" s="79" t="s">
        <v>668</v>
      </c>
      <c r="B47" s="79" t="s">
        <v>669</v>
      </c>
      <c r="C47" s="81" t="n">
        <v>691</v>
      </c>
      <c r="D47" s="79" t="s">
        <v>655</v>
      </c>
      <c r="E47" s="79" t="s">
        <v>670</v>
      </c>
      <c r="F47" s="79" t="s">
        <v>533</v>
      </c>
      <c r="G47" s="79" t="s">
        <v>671</v>
      </c>
    </row>
    <row r="48" customFormat="false" ht="30" hidden="false" customHeight="true" outlineLevel="0" collapsed="false">
      <c r="A48" s="79" t="s">
        <v>672</v>
      </c>
      <c r="B48" s="79" t="s">
        <v>673</v>
      </c>
      <c r="C48" s="85" t="n">
        <v>38000</v>
      </c>
      <c r="D48" s="79" t="s">
        <v>655</v>
      </c>
      <c r="E48" s="79" t="s">
        <v>674</v>
      </c>
      <c r="F48" s="79" t="s">
        <v>533</v>
      </c>
      <c r="G48" s="79" t="s">
        <v>671</v>
      </c>
    </row>
    <row r="49" customFormat="false" ht="30" hidden="false" customHeight="true" outlineLevel="0" collapsed="false">
      <c r="A49" s="79" t="s">
        <v>675</v>
      </c>
      <c r="B49" s="79" t="s">
        <v>676</v>
      </c>
      <c r="C49" s="87" t="n">
        <f aca="false">C47/C48</f>
        <v>0.0181842105263158</v>
      </c>
      <c r="D49" s="79" t="s">
        <v>677</v>
      </c>
      <c r="E49" s="79" t="s">
        <v>678</v>
      </c>
      <c r="F49" s="79" t="s">
        <v>533</v>
      </c>
      <c r="G49" s="79" t="s">
        <v>508</v>
      </c>
    </row>
    <row r="50" customFormat="false" ht="30" hidden="false" customHeight="true" outlineLevel="0" collapsed="false">
      <c r="A50" s="79" t="s">
        <v>679</v>
      </c>
      <c r="B50" s="79" t="s">
        <v>680</v>
      </c>
      <c r="C50" s="84" t="n">
        <v>0.5</v>
      </c>
      <c r="D50" s="79" t="s">
        <v>519</v>
      </c>
      <c r="E50" s="79" t="s">
        <v>681</v>
      </c>
      <c r="F50" s="79" t="s">
        <v>682</v>
      </c>
      <c r="G50" s="79" t="s">
        <v>671</v>
      </c>
    </row>
    <row r="51" customFormat="false" ht="30" hidden="false" customHeight="true" outlineLevel="0" collapsed="false">
      <c r="A51" s="79" t="s">
        <v>683</v>
      </c>
      <c r="B51" s="79" t="s">
        <v>684</v>
      </c>
      <c r="C51" s="84" t="n">
        <v>0.3</v>
      </c>
      <c r="D51" s="79" t="s">
        <v>519</v>
      </c>
      <c r="E51" s="79" t="s">
        <v>685</v>
      </c>
      <c r="F51" s="79" t="s">
        <v>682</v>
      </c>
      <c r="G51" s="79" t="s">
        <v>686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76" t="s">
        <v>687</v>
      </c>
      <c r="B1" s="76"/>
      <c r="C1" s="76"/>
      <c r="D1" s="76"/>
      <c r="E1" s="76"/>
      <c r="F1" s="76"/>
      <c r="G1" s="76"/>
    </row>
    <row r="2" customFormat="false" ht="30" hidden="false" customHeight="true" outlineLevel="0" collapsed="false">
      <c r="A2" s="77" t="s">
        <v>688</v>
      </c>
      <c r="B2" s="77"/>
      <c r="C2" s="77"/>
      <c r="D2" s="77"/>
      <c r="E2" s="77"/>
      <c r="F2" s="77"/>
      <c r="G2" s="77"/>
    </row>
    <row r="3" customFormat="false" ht="30" hidden="false" customHeight="true" outlineLevel="0" collapsed="false">
      <c r="A3" s="78" t="s">
        <v>689</v>
      </c>
      <c r="B3" s="78" t="s">
        <v>690</v>
      </c>
      <c r="C3" s="78" t="s">
        <v>691</v>
      </c>
      <c r="D3" s="78" t="s">
        <v>692</v>
      </c>
      <c r="E3" s="78" t="s">
        <v>693</v>
      </c>
      <c r="F3" s="78" t="s">
        <v>9</v>
      </c>
      <c r="G3" s="78" t="s">
        <v>694</v>
      </c>
    </row>
    <row r="4" customFormat="false" ht="60" hidden="false" customHeight="true" outlineLevel="0" collapsed="false">
      <c r="A4" s="79" t="s">
        <v>695</v>
      </c>
      <c r="B4" s="79" t="s">
        <v>696</v>
      </c>
      <c r="C4" s="79" t="s">
        <v>697</v>
      </c>
      <c r="D4" s="79" t="s">
        <v>698</v>
      </c>
      <c r="E4" s="79" t="s">
        <v>346</v>
      </c>
      <c r="F4" s="79" t="s">
        <v>699</v>
      </c>
      <c r="G4" s="88" t="s">
        <v>700</v>
      </c>
    </row>
    <row r="5" customFormat="false" ht="60" hidden="false" customHeight="true" outlineLevel="0" collapsed="false">
      <c r="A5" s="79" t="s">
        <v>695</v>
      </c>
      <c r="B5" s="79" t="s">
        <v>701</v>
      </c>
      <c r="C5" s="79" t="s">
        <v>702</v>
      </c>
      <c r="D5" s="79" t="s">
        <v>703</v>
      </c>
      <c r="E5" s="79" t="s">
        <v>346</v>
      </c>
      <c r="F5" s="79" t="s">
        <v>699</v>
      </c>
      <c r="G5" s="88" t="s">
        <v>700</v>
      </c>
    </row>
    <row r="6" customFormat="false" ht="60" hidden="false" customHeight="true" outlineLevel="0" collapsed="false">
      <c r="A6" s="79" t="s">
        <v>695</v>
      </c>
      <c r="B6" s="79" t="s">
        <v>704</v>
      </c>
      <c r="C6" s="79" t="s">
        <v>705</v>
      </c>
      <c r="D6" s="79" t="s">
        <v>706</v>
      </c>
      <c r="E6" s="79" t="s">
        <v>707</v>
      </c>
      <c r="F6" s="79" t="s">
        <v>699</v>
      </c>
      <c r="G6" s="88" t="s">
        <v>700</v>
      </c>
    </row>
    <row r="7" customFormat="false" ht="60" hidden="false" customHeight="true" outlineLevel="0" collapsed="false">
      <c r="A7" s="79" t="s">
        <v>695</v>
      </c>
      <c r="B7" s="79" t="s">
        <v>708</v>
      </c>
      <c r="C7" s="79" t="s">
        <v>709</v>
      </c>
      <c r="D7" s="79" t="s">
        <v>710</v>
      </c>
      <c r="E7" s="79" t="s">
        <v>711</v>
      </c>
      <c r="F7" s="79" t="s">
        <v>699</v>
      </c>
      <c r="G7" s="88" t="s">
        <v>700</v>
      </c>
    </row>
    <row r="8" customFormat="false" ht="60" hidden="false" customHeight="true" outlineLevel="0" collapsed="false">
      <c r="A8" s="79" t="s">
        <v>712</v>
      </c>
      <c r="B8" s="79" t="s">
        <v>713</v>
      </c>
      <c r="C8" s="79" t="s">
        <v>714</v>
      </c>
      <c r="D8" s="79" t="s">
        <v>715</v>
      </c>
      <c r="E8" s="79" t="s">
        <v>716</v>
      </c>
      <c r="F8" s="79" t="s">
        <v>717</v>
      </c>
      <c r="G8" s="79" t="s">
        <v>718</v>
      </c>
    </row>
    <row r="9" customFormat="false" ht="60" hidden="false" customHeight="true" outlineLevel="0" collapsed="false">
      <c r="A9" s="79" t="s">
        <v>712</v>
      </c>
      <c r="B9" s="79" t="s">
        <v>719</v>
      </c>
      <c r="C9" s="79" t="s">
        <v>720</v>
      </c>
      <c r="D9" s="79" t="s">
        <v>721</v>
      </c>
      <c r="E9" s="79" t="s">
        <v>722</v>
      </c>
      <c r="F9" s="79" t="s">
        <v>699</v>
      </c>
      <c r="G9" s="79" t="s">
        <v>723</v>
      </c>
    </row>
    <row r="10" customFormat="false" ht="60" hidden="false" customHeight="true" outlineLevel="0" collapsed="false">
      <c r="A10" s="79" t="s">
        <v>724</v>
      </c>
      <c r="B10" s="79" t="s">
        <v>725</v>
      </c>
      <c r="C10" s="79" t="s">
        <v>726</v>
      </c>
      <c r="D10" s="79" t="s">
        <v>727</v>
      </c>
      <c r="E10" s="79" t="s">
        <v>346</v>
      </c>
      <c r="F10" s="79" t="s">
        <v>728</v>
      </c>
      <c r="G10" s="79" t="s">
        <v>729</v>
      </c>
    </row>
    <row r="11" customFormat="false" ht="60" hidden="false" customHeight="true" outlineLevel="0" collapsed="false">
      <c r="A11" s="79" t="s">
        <v>724</v>
      </c>
      <c r="B11" s="79" t="s">
        <v>730</v>
      </c>
      <c r="C11" s="79" t="s">
        <v>731</v>
      </c>
      <c r="D11" s="79" t="s">
        <v>732</v>
      </c>
      <c r="E11" s="79" t="s">
        <v>733</v>
      </c>
      <c r="F11" s="79" t="s">
        <v>717</v>
      </c>
      <c r="G11" s="79" t="s">
        <v>718</v>
      </c>
    </row>
    <row r="12" customFormat="false" ht="60" hidden="false" customHeight="true" outlineLevel="0" collapsed="false">
      <c r="A12" s="79" t="s">
        <v>724</v>
      </c>
      <c r="B12" s="79" t="s">
        <v>734</v>
      </c>
      <c r="C12" s="79" t="s">
        <v>735</v>
      </c>
      <c r="D12" s="79" t="s">
        <v>736</v>
      </c>
      <c r="E12" s="79" t="s">
        <v>737</v>
      </c>
      <c r="F12" s="79" t="s">
        <v>717</v>
      </c>
      <c r="G12" s="79" t="s">
        <v>718</v>
      </c>
    </row>
    <row r="13" customFormat="false" ht="60" hidden="false" customHeight="true" outlineLevel="0" collapsed="false">
      <c r="A13" s="79" t="s">
        <v>724</v>
      </c>
      <c r="B13" s="79" t="s">
        <v>738</v>
      </c>
      <c r="C13" s="79" t="s">
        <v>739</v>
      </c>
      <c r="D13" s="79" t="s">
        <v>740</v>
      </c>
      <c r="E13" s="79" t="s">
        <v>741</v>
      </c>
      <c r="F13" s="79" t="s">
        <v>728</v>
      </c>
      <c r="G13" s="79" t="s">
        <v>729</v>
      </c>
    </row>
    <row r="14" customFormat="false" ht="60" hidden="false" customHeight="true" outlineLevel="0" collapsed="false">
      <c r="A14" s="79" t="s">
        <v>724</v>
      </c>
      <c r="B14" s="79" t="s">
        <v>742</v>
      </c>
      <c r="C14" s="79" t="s">
        <v>743</v>
      </c>
      <c r="D14" s="79" t="s">
        <v>744</v>
      </c>
      <c r="E14" s="79" t="s">
        <v>745</v>
      </c>
      <c r="F14" s="79" t="s">
        <v>746</v>
      </c>
      <c r="G14" s="79" t="s">
        <v>718</v>
      </c>
    </row>
    <row r="15" customFormat="false" ht="60" hidden="false" customHeight="true" outlineLevel="0" collapsed="false">
      <c r="A15" s="79" t="s">
        <v>724</v>
      </c>
      <c r="B15" s="79" t="s">
        <v>747</v>
      </c>
      <c r="C15" s="79" t="s">
        <v>748</v>
      </c>
      <c r="D15" s="79" t="s">
        <v>749</v>
      </c>
      <c r="E15" s="79" t="s">
        <v>628</v>
      </c>
      <c r="F15" s="79" t="s">
        <v>717</v>
      </c>
      <c r="G15" s="79" t="s">
        <v>718</v>
      </c>
    </row>
    <row r="16" customFormat="false" ht="60" hidden="false" customHeight="true" outlineLevel="0" collapsed="false">
      <c r="A16" s="79" t="s">
        <v>750</v>
      </c>
      <c r="B16" s="79" t="s">
        <v>751</v>
      </c>
      <c r="C16" s="79" t="s">
        <v>752</v>
      </c>
      <c r="D16" s="79" t="s">
        <v>753</v>
      </c>
      <c r="E16" s="79" t="s">
        <v>754</v>
      </c>
      <c r="F16" s="79" t="s">
        <v>717</v>
      </c>
      <c r="G16" s="79" t="s">
        <v>718</v>
      </c>
    </row>
    <row r="17" customFormat="false" ht="60" hidden="false" customHeight="true" outlineLevel="0" collapsed="false">
      <c r="A17" s="79" t="s">
        <v>750</v>
      </c>
      <c r="B17" s="79" t="s">
        <v>755</v>
      </c>
      <c r="C17" s="79" t="s">
        <v>756</v>
      </c>
      <c r="D17" s="79" t="s">
        <v>757</v>
      </c>
      <c r="E17" s="79" t="s">
        <v>758</v>
      </c>
      <c r="F17" s="79" t="s">
        <v>717</v>
      </c>
      <c r="G17" s="79" t="s">
        <v>718</v>
      </c>
    </row>
    <row r="18" customFormat="false" ht="60" hidden="false" customHeight="true" outlineLevel="0" collapsed="false">
      <c r="A18" s="79" t="s">
        <v>750</v>
      </c>
      <c r="B18" s="79" t="s">
        <v>759</v>
      </c>
      <c r="C18" s="79" t="s">
        <v>760</v>
      </c>
      <c r="D18" s="79" t="s">
        <v>761</v>
      </c>
      <c r="E18" s="79" t="s">
        <v>346</v>
      </c>
      <c r="F18" s="79" t="s">
        <v>699</v>
      </c>
      <c r="G18" s="79" t="s">
        <v>723</v>
      </c>
    </row>
    <row r="19" customFormat="false" ht="60" hidden="false" customHeight="true" outlineLevel="0" collapsed="false">
      <c r="A19" s="79" t="s">
        <v>762</v>
      </c>
      <c r="B19" s="79" t="s">
        <v>763</v>
      </c>
      <c r="C19" s="79" t="s">
        <v>764</v>
      </c>
      <c r="D19" s="79" t="s">
        <v>765</v>
      </c>
      <c r="E19" s="79" t="s">
        <v>766</v>
      </c>
      <c r="F19" s="79" t="s">
        <v>767</v>
      </c>
      <c r="G19" s="79" t="s">
        <v>723</v>
      </c>
    </row>
    <row r="20" customFormat="false" ht="60" hidden="false" customHeight="true" outlineLevel="0" collapsed="false">
      <c r="A20" s="79" t="s">
        <v>762</v>
      </c>
      <c r="B20" s="79" t="s">
        <v>768</v>
      </c>
      <c r="C20" s="79" t="s">
        <v>769</v>
      </c>
      <c r="D20" s="79" t="s">
        <v>770</v>
      </c>
      <c r="E20" s="79" t="s">
        <v>346</v>
      </c>
      <c r="F20" s="79" t="s">
        <v>699</v>
      </c>
      <c r="G20" s="79" t="s">
        <v>723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76" t="s">
        <v>771</v>
      </c>
      <c r="B1" s="76"/>
    </row>
    <row r="2" customFormat="false" ht="30" hidden="false" customHeight="true" outlineLevel="0" collapsed="false">
      <c r="A2" s="77" t="s">
        <v>772</v>
      </c>
      <c r="B2" s="77"/>
    </row>
    <row r="3" customFormat="false" ht="30" hidden="false" customHeight="true" outlineLevel="0" collapsed="false">
      <c r="A3" s="78" t="s">
        <v>773</v>
      </c>
      <c r="B3" s="78" t="s">
        <v>774</v>
      </c>
    </row>
    <row r="4" customFormat="false" ht="22.35" hidden="false" customHeight="false" outlineLevel="0" collapsed="false">
      <c r="A4" s="79" t="s">
        <v>775</v>
      </c>
      <c r="B4" s="79" t="s">
        <v>776</v>
      </c>
    </row>
    <row r="5" customFormat="false" ht="15" hidden="false" customHeight="false" outlineLevel="0" collapsed="false">
      <c r="A5" s="79" t="s">
        <v>777</v>
      </c>
      <c r="B5" s="79" t="s">
        <v>778</v>
      </c>
    </row>
    <row r="6" customFormat="false" ht="15" hidden="false" customHeight="false" outlineLevel="0" collapsed="false">
      <c r="A6" s="79" t="s">
        <v>779</v>
      </c>
      <c r="B6" s="80" t="s">
        <v>308</v>
      </c>
    </row>
    <row r="7" customFormat="false" ht="15" hidden="false" customHeight="false" outlineLevel="0" collapsed="false">
      <c r="A7" s="79" t="s">
        <v>780</v>
      </c>
      <c r="B7" s="80" t="s">
        <v>429</v>
      </c>
    </row>
    <row r="8" customFormat="false" ht="22.35" hidden="false" customHeight="false" outlineLevel="0" collapsed="false">
      <c r="A8" s="79" t="s">
        <v>781</v>
      </c>
      <c r="B8" s="80" t="s">
        <v>407</v>
      </c>
    </row>
    <row r="9" customFormat="false" ht="15" hidden="false" customHeight="false" outlineLevel="0" collapsed="false">
      <c r="A9" s="79" t="s">
        <v>782</v>
      </c>
      <c r="B9" s="80" t="s">
        <v>783</v>
      </c>
    </row>
    <row r="10" customFormat="false" ht="15" hidden="false" customHeight="false" outlineLevel="0" collapsed="false">
      <c r="A10" s="79" t="s">
        <v>784</v>
      </c>
      <c r="B10" s="80" t="s">
        <v>364</v>
      </c>
    </row>
    <row r="11" customFormat="false" ht="15" hidden="false" customHeight="false" outlineLevel="0" collapsed="false">
      <c r="A11" s="79" t="s">
        <v>785</v>
      </c>
      <c r="B11" s="80" t="s">
        <v>380</v>
      </c>
    </row>
    <row r="12" customFormat="false" ht="15" hidden="false" customHeight="false" outlineLevel="0" collapsed="false">
      <c r="A12" s="79" t="s">
        <v>786</v>
      </c>
      <c r="B12" s="80" t="s">
        <v>389</v>
      </c>
    </row>
    <row r="13" customFormat="false" ht="15" hidden="false" customHeight="false" outlineLevel="0" collapsed="false">
      <c r="A13" s="79" t="s">
        <v>787</v>
      </c>
      <c r="B13" s="80" t="s">
        <v>398</v>
      </c>
    </row>
    <row r="14" customFormat="false" ht="15" hidden="false" customHeight="false" outlineLevel="0" collapsed="false">
      <c r="A14" s="79" t="s">
        <v>788</v>
      </c>
      <c r="B14" s="80" t="s">
        <v>445</v>
      </c>
    </row>
    <row r="15" customFormat="false" ht="15" hidden="false" customHeight="false" outlineLevel="0" collapsed="false">
      <c r="A15" s="79" t="s">
        <v>789</v>
      </c>
      <c r="B15" s="80" t="s">
        <v>454</v>
      </c>
    </row>
    <row r="16" customFormat="false" ht="15" hidden="false" customHeight="false" outlineLevel="0" collapsed="false">
      <c r="A16" s="79" t="s">
        <v>790</v>
      </c>
      <c r="B16" s="80" t="s">
        <v>476</v>
      </c>
    </row>
    <row r="17" customFormat="false" ht="15" hidden="false" customHeight="false" outlineLevel="0" collapsed="false">
      <c r="A17" s="79" t="s">
        <v>791</v>
      </c>
      <c r="B17" s="80" t="s">
        <v>358</v>
      </c>
    </row>
  </sheetData>
  <mergeCells count="2">
    <mergeCell ref="A1:B1"/>
    <mergeCell ref="A2:B2"/>
  </mergeCells>
  <hyperlinks>
    <hyperlink ref="B6" r:id="rId1" display="https://www.i4ce.org/wp-content/uploads/I4CE_BonusMalusAutomobiles-2.pdf"/>
    <hyperlink ref="B7" r:id="rId2" display="https://www.i4ce.org/wp-content/uploads/2025/06/Le-Label-bas-carbone-quel-bilan-apres-6-ans-dexistence_V2.pdf"/>
    <hyperlink ref="B8" r:id="rId3" display="https://uploads.transportenvironment.org/production/files/2024_10_Recommandations-leasing-social.pdf"/>
    <hyperlink ref="B9" r:id="rId4" display="https://www.hellowatt.fr/blog/cour-comptes-cee/"/>
    <hyperlink ref="B10" r:id="rId5" display="https://www.linfodurable.fr/finance-durable/prets-verts-publics-un-bilan-satisfaisant-selon-la-cour-des-comptes-55834"/>
    <hyperlink ref="B11" r:id="rId6" display="https://www.connaissancedesenergies.org/afp/la-cour-des-comptes-appelle-mieux-maitriser-les-dispositifs-de-soutien-aux-energies-renouvelables-260317"/>
    <hyperlink ref="B12" r:id="rId7" display="https://cleanenergywire.org/news/industry-shows-big-interest-german-governments-climate-protection-contracts"/>
    <hyperlink ref="B13" r:id="rId8" display="https://www.senat.fr/rap/r21-773/r21-7731.html"/>
    <hyperlink ref="B14" r:id="rId9" display="https://www.insee.fr/fr/statistiques/7728889"/>
    <hyperlink ref="B15" r:id="rId10" display="https://www.banquedesterritoires.fr/eco-organismes-des-resultats-trop-inegaux-et-une-regulation-renforcer-selon-la-cour-des-comptes"/>
    <hyperlink ref="B16" r:id="rId11" display="https://www.senat.fr/questions/base/2025/qSEQ250605009.html"/>
    <hyperlink ref="B17" r:id="rId12" display="https://www.les-energies-renouvelables.eu/article/actualites/reglementations/126-030-proprietaires-ont-decroche-un-eco-pret-a-taux-zero-en-2025-un-record-porte-par-trois-banques-seulement-1378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2026-03-22T16:12:11Z</dcterms:created>
  <dc:creator>openpyxl</dc:creator>
  <dc:description/>
  <dc:language>en-US</dc:language>
  <cp:lastModifiedBy/>
  <dcterms:modified xsi:type="dcterms:W3CDTF">2026-10-14T14:40:10Z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